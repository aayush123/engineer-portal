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theme/themeOverride2.xml" ContentType="application/vnd.openxmlformats-officedocument.themeOverrid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2.xml" ContentType="application/vnd.openxmlformats-officedocument.drawing+xml"/>
  <Override PartName="/xl/charts/chart25.xml" ContentType="application/vnd.openxmlformats-officedocument.drawingml.chart+xml"/>
  <Override PartName="/xl/theme/themeOverride3.xml" ContentType="application/vnd.openxmlformats-officedocument.themeOverride+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Override PartName="/xl/charts/colors11.xml" ContentType="application/vnd.ms-office.chartcolorstyle+xml"/>
  <Override PartName="/xl/charts/style11.xml" ContentType="application/vnd.ms-office.chartstyle+xml"/>
  <Override PartName="/xl/charts/colors12.xml" ContentType="application/vnd.ms-office.chartcolorstyle+xml"/>
  <Override PartName="/xl/charts/style12.xml" ContentType="application/vnd.ms-office.chartstyle+xml"/>
  <Override PartName="/xl/charts/colors13.xml" ContentType="application/vnd.ms-office.chartcolorstyle+xml"/>
  <Override PartName="/xl/charts/style13.xml" ContentType="application/vnd.ms-office.chartstyle+xml"/>
  <Override PartName="/xl/charts/colors14.xml" ContentType="application/vnd.ms-office.chartcolorstyle+xml"/>
  <Override PartName="/xl/charts/style14.xml" ContentType="application/vnd.ms-office.chartstyle+xml"/>
  <Override PartName="/xl/charts/colors15.xml" ContentType="application/vnd.ms-office.chartcolorstyle+xml"/>
  <Override PartName="/xl/charts/style15.xml" ContentType="application/vnd.ms-office.chartstyle+xml"/>
  <Override PartName="/xl/charts/colors16.xml" ContentType="application/vnd.ms-office.chartcolorstyle+xml"/>
  <Override PartName="/xl/charts/style16.xml" ContentType="application/vnd.ms-office.chartstyle+xml"/>
  <Override PartName="/xl/charts/colors17.xml" ContentType="application/vnd.ms-office.chartcolorstyle+xml"/>
  <Override PartName="/xl/charts/style17.xml" ContentType="application/vnd.ms-office.chartstyle+xml"/>
  <Override PartName="/xl/charts/colors18.xml" ContentType="application/vnd.ms-office.chartcolorstyle+xml"/>
  <Override PartName="/xl/charts/style18.xml" ContentType="application/vnd.ms-office.chartstyle+xml"/>
  <Override PartName="/xl/charts/colors19.xml" ContentType="application/vnd.ms-office.chartcolorstyle+xml"/>
  <Override PartName="/xl/charts/style19.xml" ContentType="application/vnd.ms-office.chartstyle+xml"/>
  <Override PartName="/xl/charts/colors20.xml" ContentType="application/vnd.ms-office.chartcolorstyle+xml"/>
  <Override PartName="/xl/charts/style20.xml" ContentType="application/vnd.ms-office.chartstyle+xml"/>
  <Override PartName="/xl/charts/colors21.xml" ContentType="application/vnd.ms-office.chartcolorstyle+xml"/>
  <Override PartName="/xl/charts/style21.xml" ContentType="application/vnd.ms-office.chartstyle+xml"/>
  <Override PartName="/xl/charts/colors22.xml" ContentType="application/vnd.ms-office.chartcolorstyle+xml"/>
  <Override PartName="/xl/charts/style22.xml" ContentType="application/vnd.ms-office.chartstyle+xml"/>
  <Override PartName="/xl/charts/colors23.xml" ContentType="application/vnd.ms-office.chartcolorstyle+xml"/>
  <Override PartName="/xl/charts/style23.xml" ContentType="application/vnd.ms-office.chartstyle+xml"/>
  <Override PartName="/xl/charts/colors24.xml" ContentType="application/vnd.ms-office.chartcolorstyle+xml"/>
  <Override PartName="/xl/charts/style24.xml" ContentType="application/vnd.ms-office.chartstyle+xml"/>
  <Override PartName="/xl/charts/colors25.xml" ContentType="application/vnd.ms-office.chartcolorstyle+xml"/>
  <Override PartName="/xl/charts/style25.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updateLinks="never" codeName="ThisWorkbook" defaultThemeVersion="124226"/>
  <bookViews>
    <workbookView xWindow="0" yWindow="0" windowWidth="19200" windowHeight="7155" activeTab="2"/>
  </bookViews>
  <sheets>
    <sheet name="Title" sheetId="25" r:id="rId1"/>
    <sheet name="About" sheetId="29" r:id="rId2"/>
    <sheet name="Engineer Self Assessment" sheetId="12" r:id="rId3"/>
    <sheet name="HHT" sheetId="17" r:id="rId4"/>
    <sheet name="Broadband" sheetId="22" r:id="rId5"/>
    <sheet name="CAL OMI" sheetId="24" r:id="rId6"/>
    <sheet name="UG" sheetId="26" r:id="rId7"/>
    <sheet name="IPhone" sheetId="28" r:id="rId8"/>
    <sheet name="New" sheetId="23" state="hidden" r:id="rId9"/>
    <sheet name="Frames" sheetId="27" r:id="rId10"/>
    <sheet name="Results" sheetId="16" r:id="rId11"/>
    <sheet name="Master" sheetId="1" state="hidden" r:id="rId12"/>
    <sheet name="Scoresheet" sheetId="14" state="hidden" r:id="rId13"/>
    <sheet name="PDP" sheetId="15" r:id="rId14"/>
  </sheets>
  <definedNames>
    <definedName name="List" localSheetId="2">'Engineer Self Assessment'!$CA$1:$CA$5</definedName>
    <definedName name="List" localSheetId="12">Scoresheet!$BS$2:$BS$3</definedName>
    <definedName name="List">Master!$AM$1:$AM$5</definedName>
    <definedName name="List2" localSheetId="2">'Engineer Self Assessment'!$CH$1:$CH$19</definedName>
    <definedName name="List2">Master!$AT$1:$AT$7</definedName>
    <definedName name="List3">Master!$AI$1:$AI$2</definedName>
  </definedNames>
  <calcPr calcId="152511"/>
</workbook>
</file>

<file path=xl/calcChain.xml><?xml version="1.0" encoding="utf-8"?>
<calcChain xmlns="http://schemas.openxmlformats.org/spreadsheetml/2006/main">
  <c r="H34" i="24" l="1"/>
  <c r="H50" i="24"/>
  <c r="H76" i="27" l="1"/>
  <c r="H72" i="27"/>
  <c r="H64" i="27"/>
  <c r="H56" i="27"/>
  <c r="I190" i="16" l="1"/>
  <c r="I189" i="16"/>
  <c r="I188" i="16"/>
  <c r="I184" i="16"/>
  <c r="I163" i="16"/>
  <c r="I135" i="16"/>
  <c r="I134" i="16"/>
  <c r="I133" i="16"/>
  <c r="I129" i="16"/>
  <c r="B178" i="16"/>
  <c r="B158" i="16"/>
  <c r="B123" i="16"/>
  <c r="B91" i="16"/>
  <c r="B72" i="16"/>
  <c r="B52" i="16"/>
  <c r="B179" i="16"/>
  <c r="B159" i="16"/>
  <c r="B124" i="16"/>
  <c r="I103" i="16"/>
  <c r="I102" i="16"/>
  <c r="I101" i="16"/>
  <c r="I100" i="16"/>
  <c r="I96" i="16"/>
  <c r="B92" i="16"/>
  <c r="I78" i="16"/>
  <c r="I58" i="16"/>
  <c r="B73" i="16"/>
  <c r="B53" i="16"/>
  <c r="B4" i="22"/>
  <c r="B4" i="27"/>
  <c r="B4" i="28"/>
  <c r="B4" i="26"/>
  <c r="B4" i="24"/>
  <c r="B4" i="17"/>
  <c r="B13" i="16" l="1"/>
  <c r="F8" i="27"/>
  <c r="F8" i="24"/>
  <c r="L25" i="14"/>
  <c r="L21" i="14" l="1"/>
  <c r="B33" i="12"/>
  <c r="L17" i="14"/>
  <c r="F142" i="26" l="1"/>
  <c r="F138" i="26"/>
  <c r="F134" i="26"/>
  <c r="F130" i="26"/>
  <c r="F126" i="26"/>
  <c r="F122" i="26"/>
  <c r="F118" i="26"/>
  <c r="F114" i="26"/>
  <c r="F110" i="26"/>
  <c r="B110" i="26"/>
  <c r="B114" i="26" s="1"/>
  <c r="B118" i="26" s="1"/>
  <c r="B122" i="26" s="1"/>
  <c r="B126" i="26" s="1"/>
  <c r="B130" i="26" s="1"/>
  <c r="B134" i="26" s="1"/>
  <c r="B138" i="26" s="1"/>
  <c r="B142" i="26" s="1"/>
  <c r="B106" i="26"/>
  <c r="H110" i="26" l="1"/>
  <c r="H114" i="26"/>
  <c r="H118" i="26"/>
  <c r="H122" i="26"/>
  <c r="H126" i="26"/>
  <c r="H130" i="26"/>
  <c r="H134" i="26"/>
  <c r="H138" i="26"/>
  <c r="H142" i="26"/>
  <c r="F104" i="28"/>
  <c r="H104" i="28" s="1"/>
  <c r="F100" i="28"/>
  <c r="H100" i="28" s="1"/>
  <c r="F96" i="28"/>
  <c r="H96" i="28" s="1"/>
  <c r="F92" i="28"/>
  <c r="H92" i="28" s="1"/>
  <c r="F88" i="28"/>
  <c r="H88" i="28" s="1"/>
  <c r="F84" i="28"/>
  <c r="H84" i="28" s="1"/>
  <c r="F80" i="28"/>
  <c r="H80" i="28" s="1"/>
  <c r="F76" i="28"/>
  <c r="H76" i="28" s="1"/>
  <c r="F72" i="28"/>
  <c r="H72" i="28" s="1"/>
  <c r="F68" i="28"/>
  <c r="H68" i="28" s="1"/>
  <c r="F64" i="28"/>
  <c r="H64" i="28" s="1"/>
  <c r="F60" i="28"/>
  <c r="H60" i="28" s="1"/>
  <c r="F56" i="28"/>
  <c r="H56" i="28" s="1"/>
  <c r="F52" i="28"/>
  <c r="H52" i="28" s="1"/>
  <c r="F48" i="28"/>
  <c r="H48" i="28" s="1"/>
  <c r="F44" i="28"/>
  <c r="H44" i="28" s="1"/>
  <c r="F40" i="28"/>
  <c r="H40" i="28" s="1"/>
  <c r="F36" i="28"/>
  <c r="H36" i="28" s="1"/>
  <c r="F32" i="28"/>
  <c r="H32" i="28" s="1"/>
  <c r="F28" i="28"/>
  <c r="H28" i="28" s="1"/>
  <c r="F24" i="28"/>
  <c r="H24" i="28" s="1"/>
  <c r="F20" i="28"/>
  <c r="H20" i="28" s="1"/>
  <c r="F16" i="28"/>
  <c r="H16" i="28" s="1"/>
  <c r="F12" i="28"/>
  <c r="H12" i="28" s="1"/>
  <c r="F8" i="28"/>
  <c r="F93" i="27"/>
  <c r="H93" i="27" s="1"/>
  <c r="F89" i="27"/>
  <c r="H89" i="27" s="1"/>
  <c r="F84" i="27"/>
  <c r="H84" i="27" s="1"/>
  <c r="F80" i="27"/>
  <c r="H80" i="27" s="1"/>
  <c r="F76" i="27"/>
  <c r="F72" i="27"/>
  <c r="F68" i="27"/>
  <c r="H68" i="27" s="1"/>
  <c r="F64" i="27"/>
  <c r="F60" i="27"/>
  <c r="F56" i="27"/>
  <c r="F52" i="27"/>
  <c r="H52" i="27" s="1"/>
  <c r="F48" i="27"/>
  <c r="H48" i="27" s="1"/>
  <c r="F44" i="27"/>
  <c r="H44" i="27" s="1"/>
  <c r="F40" i="27"/>
  <c r="H40" i="27" s="1"/>
  <c r="F36" i="27"/>
  <c r="H36" i="27" s="1"/>
  <c r="F32" i="27"/>
  <c r="H32" i="27" s="1"/>
  <c r="F28" i="27"/>
  <c r="F24" i="27"/>
  <c r="H24" i="27" s="1"/>
  <c r="F20" i="27"/>
  <c r="H20" i="27" s="1"/>
  <c r="F16" i="27"/>
  <c r="H16" i="27" s="1"/>
  <c r="F12" i="27"/>
  <c r="F106" i="26"/>
  <c r="F102" i="26"/>
  <c r="F98" i="26"/>
  <c r="F94" i="26"/>
  <c r="F90" i="26"/>
  <c r="D23" i="14" s="1"/>
  <c r="F86" i="26"/>
  <c r="F82" i="26"/>
  <c r="F78" i="26"/>
  <c r="F73" i="26"/>
  <c r="F69" i="26"/>
  <c r="F65" i="26"/>
  <c r="F61" i="26"/>
  <c r="F57" i="26"/>
  <c r="F53" i="26"/>
  <c r="F49" i="26"/>
  <c r="F45" i="26"/>
  <c r="F41" i="26"/>
  <c r="F37" i="26"/>
  <c r="F33" i="26"/>
  <c r="F29" i="26"/>
  <c r="F25" i="26"/>
  <c r="F21" i="26"/>
  <c r="F17" i="26"/>
  <c r="F13" i="26"/>
  <c r="F8" i="26"/>
  <c r="D21" i="14" s="1"/>
  <c r="I25" i="14"/>
  <c r="F103" i="24"/>
  <c r="H103" i="24" s="1"/>
  <c r="F109" i="24"/>
  <c r="H109" i="24" s="1"/>
  <c r="F117" i="24"/>
  <c r="H117" i="24" s="1"/>
  <c r="F145" i="24"/>
  <c r="H145" i="24" s="1"/>
  <c r="F141" i="24"/>
  <c r="H141" i="24" s="1"/>
  <c r="F137" i="24"/>
  <c r="H137" i="24" s="1"/>
  <c r="F133" i="24"/>
  <c r="H133" i="24" s="1"/>
  <c r="F99" i="24"/>
  <c r="H99" i="24" s="1"/>
  <c r="F129" i="24"/>
  <c r="H129" i="24" s="1"/>
  <c r="F169" i="24"/>
  <c r="F165" i="24"/>
  <c r="H165" i="24" s="1"/>
  <c r="F161" i="24"/>
  <c r="H161" i="24" s="1"/>
  <c r="F157" i="24"/>
  <c r="H157" i="24" s="1"/>
  <c r="F153" i="24"/>
  <c r="H153" i="24" s="1"/>
  <c r="F149" i="24"/>
  <c r="H149" i="24" s="1"/>
  <c r="F125" i="24"/>
  <c r="H125" i="24" s="1"/>
  <c r="F121" i="24"/>
  <c r="H121" i="24" s="1"/>
  <c r="B113" i="24"/>
  <c r="B117" i="24" s="1"/>
  <c r="B121" i="24" s="1"/>
  <c r="B125" i="24" s="1"/>
  <c r="B129" i="24" s="1"/>
  <c r="B133" i="24" s="1"/>
  <c r="B137" i="24" s="1"/>
  <c r="B141" i="24" s="1"/>
  <c r="B145" i="24" s="1"/>
  <c r="B149" i="24" s="1"/>
  <c r="B153" i="24" s="1"/>
  <c r="B157" i="24" s="1"/>
  <c r="B161" i="24" s="1"/>
  <c r="B165" i="24" s="1"/>
  <c r="B169" i="24" s="1"/>
  <c r="F113" i="24"/>
  <c r="H113" i="24" s="1"/>
  <c r="F95" i="24"/>
  <c r="H95" i="24" s="1"/>
  <c r="F91" i="24"/>
  <c r="H91" i="24" s="1"/>
  <c r="F66" i="24"/>
  <c r="H66" i="24" s="1"/>
  <c r="F83" i="24"/>
  <c r="H83" i="24" s="1"/>
  <c r="F62" i="24"/>
  <c r="H62" i="24" s="1"/>
  <c r="F79" i="24"/>
  <c r="H79" i="24" s="1"/>
  <c r="H60" i="27" l="1"/>
  <c r="D27" i="14"/>
  <c r="H28" i="27"/>
  <c r="D26" i="14"/>
  <c r="H12" i="27"/>
  <c r="D25" i="14"/>
  <c r="H8" i="27"/>
  <c r="D12" i="14"/>
  <c r="E13" i="16" s="1"/>
  <c r="D11" i="14"/>
  <c r="H8" i="28"/>
  <c r="D10" i="14"/>
  <c r="D22" i="14"/>
  <c r="D19" i="14"/>
  <c r="H169" i="24"/>
  <c r="H57" i="26"/>
  <c r="H61" i="26"/>
  <c r="H65" i="26"/>
  <c r="H69" i="26"/>
  <c r="H73" i="26"/>
  <c r="H78" i="26"/>
  <c r="H82" i="26"/>
  <c r="H86" i="26"/>
  <c r="H90" i="26"/>
  <c r="H94" i="26"/>
  <c r="H98" i="26"/>
  <c r="H102" i="26"/>
  <c r="H106" i="26"/>
  <c r="H21" i="26"/>
  <c r="H25" i="26"/>
  <c r="H29" i="26"/>
  <c r="H33" i="26"/>
  <c r="H37" i="26"/>
  <c r="H41" i="26"/>
  <c r="H53" i="26"/>
  <c r="H49" i="26"/>
  <c r="H45" i="26"/>
  <c r="H17" i="26"/>
  <c r="H13" i="26"/>
  <c r="H8" i="26"/>
  <c r="H12" i="23"/>
  <c r="H16" i="23"/>
  <c r="H20" i="23"/>
  <c r="H24" i="23"/>
  <c r="H28" i="23"/>
  <c r="H32" i="23"/>
  <c r="H36" i="23"/>
  <c r="H40" i="23"/>
  <c r="H44" i="23"/>
  <c r="H48" i="23"/>
  <c r="H52" i="23"/>
  <c r="H56" i="23"/>
  <c r="H60" i="23"/>
  <c r="H64" i="23"/>
  <c r="H68" i="23"/>
  <c r="H72" i="23"/>
  <c r="H76" i="23"/>
  <c r="H80" i="23"/>
  <c r="H84" i="23"/>
  <c r="H88" i="23"/>
  <c r="H92" i="23"/>
  <c r="H96" i="23"/>
  <c r="H100" i="23"/>
  <c r="H104" i="23"/>
  <c r="G27" i="14" l="1"/>
  <c r="F27" i="14"/>
  <c r="F26" i="14"/>
  <c r="G26" i="14"/>
  <c r="F25" i="14"/>
  <c r="G25" i="14"/>
  <c r="H5" i="27"/>
  <c r="E12" i="14"/>
  <c r="F13" i="16" s="1"/>
  <c r="G12" i="14"/>
  <c r="H12" i="14"/>
  <c r="H5" i="28"/>
  <c r="G22" i="14"/>
  <c r="F23" i="14"/>
  <c r="G21" i="14"/>
  <c r="F19" i="14"/>
  <c r="L3" i="16"/>
  <c r="L4" i="16"/>
  <c r="L5" i="16"/>
  <c r="L2" i="16"/>
  <c r="C2" i="14" l="1"/>
  <c r="B35" i="12"/>
  <c r="G23" i="14"/>
  <c r="F22" i="14"/>
  <c r="F21" i="14"/>
  <c r="G19" i="14"/>
  <c r="F129" i="17"/>
  <c r="H129" i="17" s="1"/>
  <c r="F125" i="17"/>
  <c r="H125" i="17" s="1"/>
  <c r="F121" i="17"/>
  <c r="H121" i="17" s="1"/>
  <c r="F117" i="17"/>
  <c r="H117" i="17" s="1"/>
  <c r="F113" i="17"/>
  <c r="H113" i="17" s="1"/>
  <c r="F109" i="17"/>
  <c r="H109" i="17" s="1"/>
  <c r="F105" i="17"/>
  <c r="H105" i="17" s="1"/>
  <c r="F101" i="17"/>
  <c r="H101" i="17" s="1"/>
  <c r="F97" i="17"/>
  <c r="H97" i="17" s="1"/>
  <c r="F93" i="17" l="1"/>
  <c r="H93" i="17" s="1"/>
  <c r="F89" i="17"/>
  <c r="H89" i="17" s="1"/>
  <c r="F85" i="17"/>
  <c r="H85" i="17" s="1"/>
  <c r="F81" i="17"/>
  <c r="H81" i="17" s="1"/>
  <c r="F42" i="24" l="1"/>
  <c r="H42" i="24" l="1"/>
  <c r="F77" i="17"/>
  <c r="H77" i="17" s="1"/>
  <c r="F73" i="17"/>
  <c r="H73" i="17" s="1"/>
  <c r="F69" i="17"/>
  <c r="H69" i="17" s="1"/>
  <c r="F87" i="24"/>
  <c r="D18" i="14" s="1"/>
  <c r="F75" i="24"/>
  <c r="F70" i="24"/>
  <c r="F58" i="24"/>
  <c r="F54" i="24"/>
  <c r="F50" i="24"/>
  <c r="F46" i="24"/>
  <c r="F38" i="24"/>
  <c r="F34" i="24"/>
  <c r="F30" i="24"/>
  <c r="F25" i="24"/>
  <c r="F21" i="24"/>
  <c r="F17" i="24"/>
  <c r="F13" i="24"/>
  <c r="D9" i="14" l="1"/>
  <c r="D16" i="14"/>
  <c r="D17" i="14"/>
  <c r="H46" i="24"/>
  <c r="H70" i="24"/>
  <c r="H13" i="24"/>
  <c r="H75" i="24"/>
  <c r="H17" i="24"/>
  <c r="H54" i="24"/>
  <c r="H21" i="24"/>
  <c r="H58" i="24"/>
  <c r="H87" i="24"/>
  <c r="H30" i="24"/>
  <c r="H25" i="24"/>
  <c r="H38" i="24"/>
  <c r="H8" i="24"/>
  <c r="F62" i="17"/>
  <c r="H62" i="17" s="1"/>
  <c r="B120" i="22"/>
  <c r="B124" i="22" s="1"/>
  <c r="B128" i="22" s="1"/>
  <c r="B132" i="22" s="1"/>
  <c r="B136" i="22" s="1"/>
  <c r="B140" i="22" s="1"/>
  <c r="B144" i="22" s="1"/>
  <c r="B148" i="22" s="1"/>
  <c r="B153" i="22" s="1"/>
  <c r="B157" i="22" s="1"/>
  <c r="B162" i="22" s="1"/>
  <c r="B167" i="22" s="1"/>
  <c r="F167" i="22"/>
  <c r="H167" i="22" s="1"/>
  <c r="F162" i="22"/>
  <c r="H162" i="22" s="1"/>
  <c r="F157" i="22"/>
  <c r="H157" i="22" s="1"/>
  <c r="F153" i="22"/>
  <c r="H153" i="22" s="1"/>
  <c r="F148" i="22"/>
  <c r="H148" i="22" s="1"/>
  <c r="F144" i="22"/>
  <c r="H144" i="22" s="1"/>
  <c r="F140" i="22"/>
  <c r="H140" i="22" s="1"/>
  <c r="F136" i="22"/>
  <c r="H136" i="22" s="1"/>
  <c r="F132" i="22"/>
  <c r="H132" i="22" s="1"/>
  <c r="F128" i="22"/>
  <c r="H128" i="22" s="1"/>
  <c r="F17" i="14" l="1"/>
  <c r="F18" i="14"/>
  <c r="G18" i="14"/>
  <c r="F16" i="14"/>
  <c r="I21" i="14"/>
  <c r="F124" i="22"/>
  <c r="H124" i="22" s="1"/>
  <c r="F120" i="22"/>
  <c r="H120" i="22" s="1"/>
  <c r="F116" i="22"/>
  <c r="H116" i="22" s="1"/>
  <c r="F112" i="22"/>
  <c r="H112" i="22" s="1"/>
  <c r="F108" i="22"/>
  <c r="H108" i="22" s="1"/>
  <c r="F104" i="22"/>
  <c r="H104" i="22" s="1"/>
  <c r="F100" i="22"/>
  <c r="H100" i="22" s="1"/>
  <c r="F96" i="22"/>
  <c r="H96" i="22" s="1"/>
  <c r="F92" i="22"/>
  <c r="H92" i="22" s="1"/>
  <c r="F88" i="22"/>
  <c r="H88" i="22" s="1"/>
  <c r="F84" i="22"/>
  <c r="H84" i="22" s="1"/>
  <c r="F80" i="22"/>
  <c r="H80" i="22" s="1"/>
  <c r="F76" i="22"/>
  <c r="H76" i="22" s="1"/>
  <c r="F72" i="22"/>
  <c r="H72" i="22" s="1"/>
  <c r="F68" i="22"/>
  <c r="H68" i="22" s="1"/>
  <c r="F64" i="22"/>
  <c r="H64" i="22" s="1"/>
  <c r="F60" i="22"/>
  <c r="H60" i="22" s="1"/>
  <c r="F104" i="23"/>
  <c r="F100" i="23"/>
  <c r="F96" i="23"/>
  <c r="F92" i="23"/>
  <c r="F88" i="23"/>
  <c r="F84" i="23"/>
  <c r="F80" i="23"/>
  <c r="F76" i="23"/>
  <c r="F72" i="23"/>
  <c r="F68" i="23"/>
  <c r="F64" i="23"/>
  <c r="F60" i="23"/>
  <c r="F56" i="23"/>
  <c r="F52" i="23"/>
  <c r="F48" i="23"/>
  <c r="F44" i="23"/>
  <c r="F40" i="23"/>
  <c r="F36" i="23"/>
  <c r="F32" i="23"/>
  <c r="F28" i="23"/>
  <c r="F24" i="23"/>
  <c r="F20" i="23"/>
  <c r="F16" i="23"/>
  <c r="F12" i="23"/>
  <c r="F8" i="23"/>
  <c r="H8" i="23" s="1"/>
  <c r="F56" i="22"/>
  <c r="H56" i="22" s="1"/>
  <c r="F52" i="22"/>
  <c r="H52" i="22" s="1"/>
  <c r="F48" i="22"/>
  <c r="H48" i="22" s="1"/>
  <c r="F44" i="22"/>
  <c r="H44" i="22" s="1"/>
  <c r="F40" i="22"/>
  <c r="H40" i="22" s="1"/>
  <c r="F36" i="22"/>
  <c r="H36" i="22" s="1"/>
  <c r="F32" i="22"/>
  <c r="H32" i="22" s="1"/>
  <c r="F28" i="22"/>
  <c r="H28" i="22" s="1"/>
  <c r="F24" i="22"/>
  <c r="H24" i="22" s="1"/>
  <c r="F20" i="22"/>
  <c r="H20" i="22" s="1"/>
  <c r="F16" i="22"/>
  <c r="H16" i="22" s="1"/>
  <c r="F12" i="22"/>
  <c r="H12" i="22" s="1"/>
  <c r="F8" i="22"/>
  <c r="H8" i="22" s="1"/>
  <c r="I17" i="14"/>
  <c r="F13" i="17"/>
  <c r="H13" i="17" s="1"/>
  <c r="F18" i="17"/>
  <c r="H18" i="17" s="1"/>
  <c r="F22" i="17"/>
  <c r="H22" i="17" s="1"/>
  <c r="F26" i="17"/>
  <c r="H26" i="17" s="1"/>
  <c r="F30" i="17"/>
  <c r="H30" i="17" s="1"/>
  <c r="F34" i="17"/>
  <c r="H34" i="17" s="1"/>
  <c r="F38" i="17"/>
  <c r="H38" i="17" s="1"/>
  <c r="F42" i="17"/>
  <c r="H42" i="17" s="1"/>
  <c r="F46" i="17"/>
  <c r="H46" i="17" s="1"/>
  <c r="F50" i="17"/>
  <c r="H50" i="17" s="1"/>
  <c r="F54" i="17"/>
  <c r="H54" i="17" s="1"/>
  <c r="F58" i="17"/>
  <c r="H58" i="17" s="1"/>
  <c r="F8" i="17"/>
  <c r="H8" i="17" s="1"/>
  <c r="D7" i="14" l="1"/>
  <c r="D8" i="14"/>
  <c r="G17" i="14"/>
  <c r="G16" i="14"/>
  <c r="C4" i="14" l="1"/>
  <c r="C3" i="14"/>
  <c r="C11" i="15"/>
  <c r="C10" i="15"/>
  <c r="C9" i="15"/>
  <c r="B22" i="12"/>
  <c r="B4" i="12"/>
  <c r="C15" i="1"/>
  <c r="H7" i="14" l="1"/>
  <c r="G8" i="14"/>
  <c r="H8" i="14"/>
  <c r="H5" i="17"/>
  <c r="H5" i="23"/>
  <c r="H5" i="22"/>
  <c r="G7" i="14"/>
  <c r="BQ6" i="14"/>
  <c r="BP5" i="14"/>
  <c r="BP4" i="14"/>
  <c r="BP3" i="14"/>
  <c r="BP2" i="14"/>
  <c r="CA1" i="12"/>
  <c r="B29" i="16"/>
  <c r="CA5" i="12"/>
  <c r="CA4" i="12"/>
  <c r="CA3" i="12"/>
  <c r="CA2" i="12"/>
  <c r="B27" i="16" l="1"/>
  <c r="B24" i="16"/>
  <c r="B21" i="16"/>
  <c r="B18" i="16"/>
  <c r="BA23" i="12" l="1"/>
  <c r="BB23" i="12"/>
  <c r="BC23" i="12"/>
  <c r="BD23" i="12"/>
  <c r="BE23" i="12"/>
  <c r="AZ23" i="12"/>
  <c r="M11" i="1"/>
  <c r="N11" i="1"/>
  <c r="O11" i="1"/>
  <c r="P11" i="1"/>
  <c r="Q11" i="1"/>
  <c r="L11" i="1"/>
  <c r="B11" i="14"/>
  <c r="B12" i="16" s="1"/>
  <c r="H5" i="26"/>
  <c r="B10" i="14"/>
  <c r="B11" i="16" s="1"/>
  <c r="B9" i="14"/>
  <c r="B10" i="16" s="1"/>
  <c r="B8" i="14"/>
  <c r="B9" i="16" s="1"/>
  <c r="B7" i="14"/>
  <c r="B8" i="16" s="1"/>
  <c r="T6" i="14"/>
  <c r="R6" i="14"/>
  <c r="P6" i="14"/>
  <c r="N6" i="14"/>
  <c r="L6" i="14"/>
  <c r="E7" i="14" l="1"/>
  <c r="H10" i="1"/>
  <c r="E8" i="14"/>
  <c r="D10" i="1" s="1"/>
  <c r="E10" i="14"/>
  <c r="F11" i="16" s="1"/>
  <c r="E11" i="14"/>
  <c r="H5" i="24"/>
  <c r="E9" i="14"/>
  <c r="H9" i="14"/>
  <c r="G9" i="14"/>
  <c r="H11" i="14"/>
  <c r="G11" i="14"/>
  <c r="G10" i="14"/>
  <c r="H10" i="14"/>
  <c r="E11" i="16"/>
  <c r="E9" i="16"/>
  <c r="E8" i="16"/>
  <c r="E12" i="16"/>
  <c r="E10" i="16"/>
  <c r="F10" i="1" l="1"/>
  <c r="F9" i="16"/>
  <c r="F8" i="16"/>
  <c r="C10" i="1"/>
  <c r="F10" i="16"/>
  <c r="E10" i="1"/>
  <c r="F12" i="16"/>
  <c r="G10" i="1"/>
  <c r="W10" i="1"/>
  <c r="V10" i="1"/>
  <c r="B25" i="12"/>
  <c r="B27" i="12"/>
  <c r="B29" i="12"/>
  <c r="B31" i="12"/>
  <c r="BJ22" i="12" s="1"/>
  <c r="BK22" i="12"/>
  <c r="B23" i="12"/>
  <c r="B7" i="12"/>
  <c r="B9" i="12"/>
  <c r="B11" i="12"/>
  <c r="B13" i="12"/>
  <c r="B15" i="12"/>
  <c r="B5" i="12"/>
  <c r="CO23" i="12" l="1"/>
  <c r="CO24" i="12" s="1"/>
  <c r="CO25" i="12" s="1"/>
  <c r="CO26" i="12" s="1"/>
  <c r="CO27" i="12" s="1"/>
  <c r="CO28" i="12" s="1"/>
  <c r="CO29" i="12" s="1"/>
  <c r="CN23" i="12"/>
  <c r="CN24" i="12" s="1"/>
  <c r="CN25" i="12" s="1"/>
  <c r="CN26" i="12" s="1"/>
  <c r="CN27" i="12" s="1"/>
  <c r="CN28" i="12" s="1"/>
  <c r="CN29" i="12" s="1"/>
  <c r="CM23" i="12"/>
  <c r="CM24" i="12" s="1"/>
  <c r="CM25" i="12" s="1"/>
  <c r="CM26" i="12" s="1"/>
  <c r="CM27" i="12" s="1"/>
  <c r="CM28" i="12" s="1"/>
  <c r="CM29" i="12" s="1"/>
  <c r="CL23" i="12"/>
  <c r="CL24" i="12" s="1"/>
  <c r="CL25" i="12" s="1"/>
  <c r="CL26" i="12" s="1"/>
  <c r="CL27" i="12" s="1"/>
  <c r="CL28" i="12" s="1"/>
  <c r="CL29" i="12" s="1"/>
  <c r="CK23" i="12"/>
  <c r="CK24" i="12" s="1"/>
  <c r="CK25" i="12" s="1"/>
  <c r="CK26" i="12" s="1"/>
  <c r="CK27" i="12" s="1"/>
  <c r="CK28" i="12" s="1"/>
  <c r="CK29" i="12" s="1"/>
  <c r="CJ23" i="12"/>
  <c r="CJ24" i="12" s="1"/>
  <c r="CJ25" i="12" s="1"/>
  <c r="CJ26" i="12" s="1"/>
  <c r="CJ27" i="12" s="1"/>
  <c r="CJ28" i="12" s="1"/>
  <c r="CJ29" i="12" s="1"/>
  <c r="CI23" i="12"/>
  <c r="CI24" i="12" s="1"/>
  <c r="CI25" i="12" s="1"/>
  <c r="CI26" i="12" s="1"/>
  <c r="CI27" i="12" s="1"/>
  <c r="CI28" i="12" s="1"/>
  <c r="CH23" i="12"/>
  <c r="CH24" i="12" s="1"/>
  <c r="CH25" i="12" s="1"/>
  <c r="CH26" i="12" s="1"/>
  <c r="CH27" i="12" s="1"/>
  <c r="CH28" i="12" s="1"/>
  <c r="CG23" i="12"/>
  <c r="CG24" i="12" s="1"/>
  <c r="CG25" i="12" s="1"/>
  <c r="CG26" i="12" s="1"/>
  <c r="CG27" i="12" s="1"/>
  <c r="CG28" i="12" s="1"/>
  <c r="CF23" i="12"/>
  <c r="CF24" i="12" s="1"/>
  <c r="CF25" i="12" s="1"/>
  <c r="CF26" i="12" s="1"/>
  <c r="CF27" i="12" s="1"/>
  <c r="CF28" i="12" s="1"/>
  <c r="CE23" i="12"/>
  <c r="CE24" i="12" s="1"/>
  <c r="CE25" i="12" s="1"/>
  <c r="CE26" i="12" s="1"/>
  <c r="CE27" i="12" s="1"/>
  <c r="CE28" i="12" s="1"/>
  <c r="CD23" i="12"/>
  <c r="CD24" i="12" s="1"/>
  <c r="CD25" i="12" s="1"/>
  <c r="CD26" i="12" s="1"/>
  <c r="CD27" i="12" s="1"/>
  <c r="CD28" i="12" s="1"/>
  <c r="CC23" i="12"/>
  <c r="CC24" i="12" s="1"/>
  <c r="CC25" i="12" s="1"/>
  <c r="CC26" i="12" s="1"/>
  <c r="CC27" i="12" s="1"/>
  <c r="CB23" i="12"/>
  <c r="CB24" i="12" s="1"/>
  <c r="CB25" i="12" s="1"/>
  <c r="CB26" i="12" s="1"/>
  <c r="CB27" i="12" s="1"/>
  <c r="CA23" i="12"/>
  <c r="CA24" i="12" s="1"/>
  <c r="CA25" i="12" s="1"/>
  <c r="CA26" i="12" s="1"/>
  <c r="CA27" i="12" s="1"/>
  <c r="BZ23" i="12"/>
  <c r="BZ24" i="12" s="1"/>
  <c r="BZ25" i="12" s="1"/>
  <c r="BZ26" i="12" s="1"/>
  <c r="BZ27" i="12" s="1"/>
  <c r="BY23" i="12"/>
  <c r="BY24" i="12" s="1"/>
  <c r="BY25" i="12" s="1"/>
  <c r="BY26" i="12" s="1"/>
  <c r="BY27" i="12" s="1"/>
  <c r="BX23" i="12"/>
  <c r="BX24" i="12" s="1"/>
  <c r="BX25" i="12" s="1"/>
  <c r="BX26" i="12" s="1"/>
  <c r="BX27" i="12" s="1"/>
  <c r="BW23" i="12"/>
  <c r="BW24" i="12" s="1"/>
  <c r="BW25" i="12" s="1"/>
  <c r="BW26" i="12" s="1"/>
  <c r="BV23" i="12"/>
  <c r="BV24" i="12" s="1"/>
  <c r="BV25" i="12" s="1"/>
  <c r="BV26" i="12" s="1"/>
  <c r="BU23" i="12"/>
  <c r="BU24" i="12" s="1"/>
  <c r="BU25" i="12" s="1"/>
  <c r="BU26" i="12" s="1"/>
  <c r="BT23" i="12"/>
  <c r="BT24" i="12" s="1"/>
  <c r="BT25" i="12" s="1"/>
  <c r="BT26" i="12" s="1"/>
  <c r="BS23" i="12"/>
  <c r="BS24" i="12" s="1"/>
  <c r="BS25" i="12" s="1"/>
  <c r="BS26" i="12" s="1"/>
  <c r="BR23" i="12"/>
  <c r="BR24" i="12" s="1"/>
  <c r="BR25" i="12" s="1"/>
  <c r="BR26" i="12" s="1"/>
  <c r="BQ23" i="12"/>
  <c r="BQ24" i="12" s="1"/>
  <c r="BQ25" i="12" s="1"/>
  <c r="BP23" i="12"/>
  <c r="BP24" i="12" s="1"/>
  <c r="BP25" i="12" s="1"/>
  <c r="BO23" i="12"/>
  <c r="BO24" i="12" s="1"/>
  <c r="BO25" i="12" s="1"/>
  <c r="BN23" i="12"/>
  <c r="BN24" i="12" s="1"/>
  <c r="BN25" i="12" s="1"/>
  <c r="BM23" i="12"/>
  <c r="BM24" i="12" s="1"/>
  <c r="BM25" i="12" s="1"/>
  <c r="BL23" i="12"/>
  <c r="BL24" i="12" s="1"/>
  <c r="BL25" i="12" s="1"/>
  <c r="BK23" i="12"/>
  <c r="BK24" i="12" s="1"/>
  <c r="BJ23" i="12"/>
  <c r="BJ24" i="12" s="1"/>
  <c r="BI23" i="12"/>
  <c r="BI24" i="12" s="1"/>
  <c r="BH23" i="12"/>
  <c r="BH24" i="12" s="1"/>
  <c r="BG23" i="12"/>
  <c r="BG24" i="12" s="1"/>
  <c r="BF23" i="12"/>
  <c r="BF24" i="12" s="1"/>
  <c r="Q20" i="1"/>
  <c r="P20" i="1"/>
  <c r="O20" i="1"/>
  <c r="N20" i="1"/>
  <c r="M20" i="1"/>
  <c r="L20" i="1"/>
  <c r="CO22" i="12"/>
  <c r="CN22" i="12"/>
  <c r="CM22" i="12"/>
  <c r="CL22"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I22" i="12"/>
  <c r="BH22" i="12"/>
  <c r="BG22" i="12"/>
  <c r="BF22" i="12"/>
  <c r="BE22" i="12"/>
  <c r="BD22" i="12"/>
  <c r="BC22" i="12"/>
  <c r="BB22" i="12"/>
  <c r="BA22" i="12"/>
  <c r="AZ22" i="12"/>
  <c r="CJ21" i="12"/>
  <c r="CD21" i="12"/>
  <c r="BX21" i="12"/>
  <c r="BR21" i="12"/>
  <c r="BL21" i="12"/>
  <c r="CH3" i="12" s="1"/>
  <c r="BF21" i="12"/>
  <c r="CH2" i="12" s="1"/>
  <c r="AZ21" i="12"/>
  <c r="CH1" i="12" s="1"/>
  <c r="S20" i="1" l="1"/>
  <c r="T20" i="1"/>
  <c r="W20" i="1"/>
  <c r="V20" i="1"/>
  <c r="R20" i="1"/>
  <c r="U20" i="1"/>
  <c r="S11" i="1" l="1"/>
  <c r="T11" i="1"/>
  <c r="U11" i="1"/>
  <c r="V11" i="1"/>
  <c r="W11" i="1"/>
  <c r="W12" i="1" s="1"/>
  <c r="R11" i="1"/>
  <c r="T12" i="1" l="1"/>
  <c r="V12" i="1"/>
  <c r="R12" i="1"/>
  <c r="S12" i="1"/>
  <c r="U12" i="1"/>
  <c r="U10" i="1"/>
  <c r="T10" i="1"/>
  <c r="S10" i="1"/>
  <c r="R10" i="1"/>
  <c r="R9" i="1"/>
  <c r="L9" i="1"/>
  <c r="AT1" i="1" l="1"/>
  <c r="L21" i="1"/>
  <c r="AT3" i="1"/>
  <c r="AT2" i="1"/>
  <c r="R21" i="1"/>
  <c r="Q10" i="1"/>
  <c r="P10" i="1"/>
  <c r="O10" i="1"/>
  <c r="N10" i="1"/>
  <c r="M10" i="1"/>
  <c r="L10" i="1"/>
</calcChain>
</file>

<file path=xl/sharedStrings.xml><?xml version="1.0" encoding="utf-8"?>
<sst xmlns="http://schemas.openxmlformats.org/spreadsheetml/2006/main" count="1838" uniqueCount="799">
  <si>
    <t>Skills</t>
  </si>
  <si>
    <t>CAL / OMI</t>
  </si>
  <si>
    <t>BB</t>
  </si>
  <si>
    <t>FTTC</t>
  </si>
  <si>
    <t>Iphone</t>
  </si>
  <si>
    <t>HHT</t>
  </si>
  <si>
    <t>Quality</t>
  </si>
  <si>
    <t>Frames H1/H4</t>
  </si>
  <si>
    <t>Technical Knowledge</t>
  </si>
  <si>
    <t>OM</t>
  </si>
  <si>
    <t>OUC</t>
  </si>
  <si>
    <t>UIN</t>
  </si>
  <si>
    <t>Totals</t>
  </si>
  <si>
    <t>Broadband</t>
  </si>
  <si>
    <t>Module 2 - Broadband</t>
  </si>
  <si>
    <t>Module 5 - Iphone</t>
  </si>
  <si>
    <t>Skilled</t>
  </si>
  <si>
    <t>Not Skilled</t>
  </si>
  <si>
    <t>Status</t>
  </si>
  <si>
    <t>Required by</t>
  </si>
  <si>
    <t>Action</t>
  </si>
  <si>
    <t>Owner</t>
  </si>
  <si>
    <t>Practical Work</t>
  </si>
  <si>
    <t>Scoring</t>
  </si>
  <si>
    <t>How your Score Rates</t>
  </si>
  <si>
    <t>You have achieved top marks or as near as required and shown a good understanding of the topic assessed.  Well Done.</t>
  </si>
  <si>
    <t>You have achieved a very reasonable score and should be proud of your achievement, with a little more focus around this area you should be able to achieve full marks.  Well done.</t>
  </si>
  <si>
    <t>You have shown some evidence of this part of the assessment but some more work is required on your knowledge and understanding of this subject.  Time should be focussed around this area.</t>
  </si>
  <si>
    <t>You have scored very low on this area, a significant amount of time should be planned on you developing this area.</t>
  </si>
  <si>
    <t>Novice</t>
  </si>
  <si>
    <t>Advanced</t>
  </si>
  <si>
    <t>Expert</t>
  </si>
  <si>
    <t>Intermediate</t>
  </si>
  <si>
    <t>Objective 1</t>
  </si>
  <si>
    <t>Objective 2</t>
  </si>
  <si>
    <t>Objective 3</t>
  </si>
  <si>
    <t xml:space="preserve">Module 1 - HHT       </t>
  </si>
  <si>
    <t>Competent</t>
  </si>
  <si>
    <t>Engineer</t>
  </si>
  <si>
    <t>Expert: You will be able to competently use all functions of the HHT, either a JDSU or an EXFO.  JDSU users will regularly compensate test leads. JDSU and EXFO users will have Software and scripts up to date.  You will be able to use all test functions accurately including Bridge tap, TDR, contact tests, DVOM and PQ testing.  Knowing and understanding what each of the tests are showing and telling you.</t>
  </si>
  <si>
    <t>Expert: You will have full knowledge of all our broadband products, including but not limited to Installing, faulting and repairing along with such issues as Interleaving, REIN, slow speeds (whether internal wiring, network issues or CP issues), no PPP, Interrogating and adjusting HUB issues or Device issues in the home.</t>
  </si>
  <si>
    <t>Expert: You can confidently use all aspects of the iPhone and our apps including making calls, sending texts, using myjobs, A55, Candid, timesheets, Fasttest+, Wired, Proveit, Logsheets, A1024, Good and any other appropriate apps on the device.</t>
  </si>
  <si>
    <t>How would you take your tester up the pole you are working on?</t>
  </si>
  <si>
    <t>A</t>
  </si>
  <si>
    <t>B</t>
  </si>
  <si>
    <t>C</t>
  </si>
  <si>
    <t>Place the tester in your tool bag and use a bass line to lift the bag</t>
  </si>
  <si>
    <t>All of the above</t>
  </si>
  <si>
    <t>What function will the tester initially perform after being switched on, initialised and connected to the pair?</t>
  </si>
  <si>
    <t>Test for High Voltage</t>
  </si>
  <si>
    <t>Nothing until user selects an option</t>
  </si>
  <si>
    <t>Test for Digital Services</t>
  </si>
  <si>
    <t>TDR</t>
  </si>
  <si>
    <t>RFL Bridge</t>
  </si>
  <si>
    <t>DVOM</t>
  </si>
  <si>
    <t>What function would you use to locate a Contact fault?</t>
  </si>
  <si>
    <t>What function would you use to locate a Disconnection?</t>
  </si>
  <si>
    <t>Can the tester be used to measure through conductors of different material and gauge?</t>
  </si>
  <si>
    <t>Yes</t>
  </si>
  <si>
    <t>No</t>
  </si>
  <si>
    <t>Conductor material and gauge has no effect on tester</t>
  </si>
  <si>
    <t>What type of clips should you use to connect the tester direct to the conductors?</t>
  </si>
  <si>
    <t>Shrouded / Insulated Clips</t>
  </si>
  <si>
    <t>Standard Metal crocodile clips</t>
  </si>
  <si>
    <t>Either above as long as they fit correctly</t>
  </si>
  <si>
    <t>Using the strap on the tester loop it over your shoulder</t>
  </si>
  <si>
    <t>Completed</t>
  </si>
  <si>
    <t>What test leads should you use with your tester?</t>
  </si>
  <si>
    <t>Any leads can be used so long as they are the correct fit</t>
  </si>
  <si>
    <t>The leads supplied with the tester or official replacements that are calibrated for the tester</t>
  </si>
  <si>
    <t>The leads supplied with the tester or the leads used on the tone</t>
  </si>
  <si>
    <t>When using your hand held tester, is a good earth required?</t>
  </si>
  <si>
    <t>Yes, most functions of the tester require a good earth</t>
  </si>
  <si>
    <t>No, an earth is only required for the PQ test</t>
  </si>
  <si>
    <t>No, earth is not required on modern testers</t>
  </si>
  <si>
    <t>When using the TDR function on your tester, if the trace rises above the line what would this indicate?</t>
  </si>
  <si>
    <t>Short Circuit / Loop</t>
  </si>
  <si>
    <t>Disconnection</t>
  </si>
  <si>
    <t>Earth contact</t>
  </si>
  <si>
    <t>When using the TDR function on your tester, if the trace falls below the line what would this indicate?</t>
  </si>
  <si>
    <t>What would be taken into consideration with relation to the cable pair when using the RFL function?</t>
  </si>
  <si>
    <t>Cable Gauge</t>
  </si>
  <si>
    <t>Cable Gauge, Conductor material and temperature</t>
  </si>
  <si>
    <t>Cable Gauge and Conductor material</t>
  </si>
  <si>
    <t>Digital Multimeter</t>
  </si>
  <si>
    <t>One Shot Test</t>
  </si>
  <si>
    <t>None, you cannot locate an HR with the tester without going into every box and checking for noise</t>
  </si>
  <si>
    <t>TDR / Delta R</t>
  </si>
  <si>
    <t>What does 'MSR' stand for</t>
  </si>
  <si>
    <t>Maximum Stable Rate</t>
  </si>
  <si>
    <t>Minimum Sync Rate</t>
  </si>
  <si>
    <t>Multi Sync Rate</t>
  </si>
  <si>
    <t>What does the statement 'Maximum bit Rate' mean?</t>
  </si>
  <si>
    <t>The actual current sync rate that the line is currently running at</t>
  </si>
  <si>
    <t>The absolute maximum sync rate the line is capable of running at within the current profile and line conditions.</t>
  </si>
  <si>
    <t>The maximum speed that the service provider can give out</t>
  </si>
  <si>
    <t>What does the statement 'Actual bit Rate' mean?</t>
  </si>
  <si>
    <t>You arrive onsite and observe the Hub/router is in sync, what would you do next?</t>
  </si>
  <si>
    <t>Interrogate the Hub/router for more information</t>
  </si>
  <si>
    <t>Close the job and move on</t>
  </si>
  <si>
    <t>Investigate the customers wiring</t>
  </si>
  <si>
    <t>What is the maximum number of filters that you can use on a broadband line?</t>
  </si>
  <si>
    <t>There is no limit as long as there is 1 filter on every extension</t>
  </si>
  <si>
    <t>4 Filters</t>
  </si>
  <si>
    <t>6 Filters</t>
  </si>
  <si>
    <t>What is the default gateway of the BT Home Hub</t>
  </si>
  <si>
    <t>192.168.1.254</t>
  </si>
  <si>
    <t>169.1.1.1</t>
  </si>
  <si>
    <t>192.100.1.252</t>
  </si>
  <si>
    <t>Start menu / control panel / Hub</t>
  </si>
  <si>
    <t>Press windows button or Start menu, type 'CMD' to open a command prompt then type IP config</t>
  </si>
  <si>
    <t>Where can you find the admin password for a Hub / Router?</t>
  </si>
  <si>
    <t>Ask the customer</t>
  </si>
  <si>
    <t>On the Hub/Router, or sticker provided with Hub</t>
  </si>
  <si>
    <t>You should not discuss this detail with the customer</t>
  </si>
  <si>
    <t>Up to 10 Days</t>
  </si>
  <si>
    <t>Up to 5 Days</t>
  </si>
  <si>
    <t>If you suspect a REIN issue, what frequency on Medium wave would you set on your radio?</t>
  </si>
  <si>
    <t>612 kHz</t>
  </si>
  <si>
    <t>521 kHz</t>
  </si>
  <si>
    <t>515 kHz</t>
  </si>
  <si>
    <t>If you saw an upload speed of 288Kbps what type of Product would the customer be on?</t>
  </si>
  <si>
    <t>Super Fast Broadband</t>
  </si>
  <si>
    <t>Fixed Rate Profile</t>
  </si>
  <si>
    <t>Neither, appears to be a fault on the line</t>
  </si>
  <si>
    <t>The Exchange</t>
  </si>
  <si>
    <t>The PCP</t>
  </si>
  <si>
    <t>The NTE5 within the customers premises</t>
  </si>
  <si>
    <t>Fit an Openreach branded NTE, fit an RF3 Filter to replace RF2, PQT &amp; ADSL test, demonstrate to customer</t>
  </si>
  <si>
    <t xml:space="preserve">Removal of any Star wiring / Back wiring </t>
  </si>
  <si>
    <t>To find and locate a Line fault</t>
  </si>
  <si>
    <t>To improve the quality of the line where the PQT was passed but parameters suggest an underlying issue</t>
  </si>
  <si>
    <t>To make the customer think we have fixed a fault to stop them rereporting future bogus issues</t>
  </si>
  <si>
    <t>Examine, identify and resolve any internal extension socket and wiring issues</t>
  </si>
  <si>
    <t>Replace the end users Hub</t>
  </si>
  <si>
    <t>What is the purpose of the End user Equipment module on an SFI2 task?</t>
  </si>
  <si>
    <t>What is the purpose of the End User Wiring module on an SFI2 task?</t>
  </si>
  <si>
    <t>What is the purpose of the External network module on an SFI2 task?</t>
  </si>
  <si>
    <t>On an SFI2 task which activities would you complete on the Base Module?</t>
  </si>
  <si>
    <t>On an SFI2 task where would you begin on a Base Module?</t>
  </si>
  <si>
    <t>To resolve certain issues with the End user equipment via a coop-call</t>
  </si>
  <si>
    <t>To check and resolve any wiring issues beyond the NTE</t>
  </si>
  <si>
    <t>You have shown no knowledge or very little knowledge of this area suggesting you need some training and development.</t>
  </si>
  <si>
    <t>IPhone</t>
  </si>
  <si>
    <t>IPhone/Apps</t>
  </si>
  <si>
    <t>What 'line test' is capable of locating a high resistance fault (HR)?</t>
  </si>
  <si>
    <t>HHT Questionnaire</t>
  </si>
  <si>
    <t>Broadband Questionnaire</t>
  </si>
  <si>
    <t>How can you find out the default gateway of a Hub / Router on computer running Microsoft Windows</t>
  </si>
  <si>
    <t>The Default Gateway is secure so you cannot find this out by interrogating the PC</t>
  </si>
  <si>
    <t>How long should you tell the customer that the Broadband Stabilisation Period could be?</t>
  </si>
  <si>
    <t>As the length of the 'metallic path' increases, what happens to the 'Insertion loss'?</t>
  </si>
  <si>
    <t>Insertion loss increases</t>
  </si>
  <si>
    <t>Insertion loss decreases</t>
  </si>
  <si>
    <t>Insertion loss remains the same</t>
  </si>
  <si>
    <t>Which statement below is correct?</t>
  </si>
  <si>
    <t>Signal to Noise ratio is the difference between the received signal and the noise</t>
  </si>
  <si>
    <t>Target margin is reserved to make the line more stable</t>
  </si>
  <si>
    <t>Which one of the following best describes CRC?</t>
  </si>
  <si>
    <t>CRC can detect an error, but is unable to correct it</t>
  </si>
  <si>
    <t>CRC can detect and correct single bit errors</t>
  </si>
  <si>
    <t>CRC can detect and correct multiple bit errors</t>
  </si>
  <si>
    <t>Which of the following would most likely help a Broadband customer who was experiencing short burst of noise?</t>
  </si>
  <si>
    <t>Switch Interleaving 'on'</t>
  </si>
  <si>
    <t>Switch Interleaving 'off'</t>
  </si>
  <si>
    <t>Reset the End users modem/router</t>
  </si>
  <si>
    <t>If a customer was heavily into online gaming, how could the signalling delay/latency be reduced?</t>
  </si>
  <si>
    <t>Switch 'Interleaving 'off'</t>
  </si>
  <si>
    <t>BRAS</t>
  </si>
  <si>
    <t>DSLAM</t>
  </si>
  <si>
    <t>DLM</t>
  </si>
  <si>
    <t>Customers premises</t>
  </si>
  <si>
    <t>PCP</t>
  </si>
  <si>
    <t>MDF/Exchange</t>
  </si>
  <si>
    <t>Would you change out a customers Hub/Router on an SFI2?</t>
  </si>
  <si>
    <t>Only if its found to be faulty</t>
  </si>
  <si>
    <t>What is the purpose of the Tick list found in myjobs closure screen of an SFI2 task?</t>
  </si>
  <si>
    <t>Provides Evidence from you to the CP, provides details for billing, provides relationship with clear codes.</t>
  </si>
  <si>
    <t>No relevance, backup questions for checking data</t>
  </si>
  <si>
    <t>To checkup on engineer for compliance</t>
  </si>
  <si>
    <t>You are working on a Broadband Boost task and have identified that the issue is faulty ADSL equipment and the CP advises there is no spare equipment, what do you do?</t>
  </si>
  <si>
    <t>Complete the task and return the Boost template with slip/ref number from the CP</t>
  </si>
  <si>
    <t>Further the task back for faulty equipment with notes to backup</t>
  </si>
  <si>
    <t>Complete the task with note saying faulty equipment</t>
  </si>
  <si>
    <t>You have completed a 5 minute sync test to "pass" and obtained an Eclipse test to "LTOK", however the PQT fails.  What do you do?</t>
  </si>
  <si>
    <t>Investigate further to resolve why you have not got a successful PQT</t>
  </si>
  <si>
    <t>Complete the task with notes saying LTOK and sync test pass.</t>
  </si>
  <si>
    <t>Further the task back with notes saying LTOK and sync test pass</t>
  </si>
  <si>
    <t>Where would the DSLAM most likely be situated if it was Delivering a VDSL service?</t>
  </si>
  <si>
    <t>At the exchange</t>
  </si>
  <si>
    <t>Near the PCP</t>
  </si>
  <si>
    <t>Near the DP</t>
  </si>
  <si>
    <t>What does the term xDSL mean?</t>
  </si>
  <si>
    <t>eXtremely fast Digital Subscriber line</t>
  </si>
  <si>
    <t>eXtremely fast Digital Subscriber loop</t>
  </si>
  <si>
    <t>Refers collectively to all types of Digital Subscriber lines</t>
  </si>
  <si>
    <t>You are at the PCP providing a VDSL service and have found there is no dial tone on the Eside of the DSLAM after checking your jumpering, what would you do next?</t>
  </si>
  <si>
    <t>Contact the DCoE, they will allocate a new port and mapping</t>
  </si>
  <si>
    <t>Contact the CP, they will allocate a new port and mapping</t>
  </si>
  <si>
    <t>Contact the CP and report the fault</t>
  </si>
  <si>
    <t>Can you provide service on a line that already has Redcare installed?</t>
  </si>
  <si>
    <t>Yes, but there are procedures that you need to follow</t>
  </si>
  <si>
    <t>No, redcare is not compatible with Broadband</t>
  </si>
  <si>
    <t>You provide a new VDSL service and after arriving at the customers premises, you find an RF2 filter is already fitted.  What action should you take?</t>
  </si>
  <si>
    <t>Remove the RF2 filter, no replacement required as long as a MK3 SSFP is going to be fitted as part the task</t>
  </si>
  <si>
    <t>Replace the RF2 filter with an RF3</t>
  </si>
  <si>
    <t>No action is required as an RF2 filter is already fitted</t>
  </si>
  <si>
    <t>Cable fill has no impact on DSL services</t>
  </si>
  <si>
    <t>Swapping pairs can prove problematic because of cable fill</t>
  </si>
  <si>
    <t>Swapping pairs is the best way to resolve 'cable fill' issues</t>
  </si>
  <si>
    <t>Far end cross talk (FEXT) mainly effects which types of DSL service?</t>
  </si>
  <si>
    <t>SDSL &amp; VDSL</t>
  </si>
  <si>
    <t>HDSL &amp; SDSL</t>
  </si>
  <si>
    <t>ADSL &amp; VDSL</t>
  </si>
  <si>
    <t>From the values below, which would indicate that the broadband line was working well?</t>
  </si>
  <si>
    <t>Downstream MTBE(ES) = 0</t>
  </si>
  <si>
    <t>Downstream MTBE(ES) = 2,400</t>
  </si>
  <si>
    <t>Downstream MTBE(ES) = 3,600</t>
  </si>
  <si>
    <t>When would you carry out a DLM reset?</t>
  </si>
  <si>
    <t>At the end of every task</t>
  </si>
  <si>
    <t>At the beginning of every task</t>
  </si>
  <si>
    <t>Only after a line fault has been fixed or faulty modem replaced</t>
  </si>
  <si>
    <t>What action would you take if you identify a customers device that was emitting REIN interference?</t>
  </si>
  <si>
    <t>Turn the device off immediately to help confirm the REIN source (if safe to do so)</t>
  </si>
  <si>
    <t>Ask the customer to turn off the device to help confirm the REIN source (if safe to do so)</t>
  </si>
  <si>
    <t>Report the issue to the REIN helpdesk</t>
  </si>
  <si>
    <t>D</t>
  </si>
  <si>
    <t>Which of the following are likely to cause problems with AC balance?</t>
  </si>
  <si>
    <t>Split Pair</t>
  </si>
  <si>
    <t>Contact with non-worker</t>
  </si>
  <si>
    <t>HR</t>
  </si>
  <si>
    <t>Any of the above</t>
  </si>
  <si>
    <t>Downstream MTBE(ES) - 1,200</t>
  </si>
  <si>
    <t>Which of the following statements is correct?</t>
  </si>
  <si>
    <t>Broadband Boost is a 'repair' task</t>
  </si>
  <si>
    <t>Broadband Boost never involves changing a hub/router</t>
  </si>
  <si>
    <t>The maximum time allocated to a Broadband Boost task is 2 hours</t>
  </si>
  <si>
    <t>On a Broadband Boost task, you are working directly on behalf of the Communications Provider</t>
  </si>
  <si>
    <t>E</t>
  </si>
  <si>
    <t>F</t>
  </si>
  <si>
    <t>How often would calibrate the test leads on you HHT? - (Select the option for the tester you use)</t>
  </si>
  <si>
    <r>
      <rPr>
        <sz val="11"/>
        <color rgb="FF9900CC"/>
        <rFont val="Calibri"/>
        <family val="2"/>
        <scheme val="minor"/>
      </rPr>
      <t>JDSU</t>
    </r>
    <r>
      <rPr>
        <sz val="11"/>
        <color theme="1"/>
        <rFont val="Calibri"/>
        <family val="2"/>
        <scheme val="minor"/>
      </rPr>
      <t xml:space="preserve"> - Calibration not required (Leads self test on power up)</t>
    </r>
  </si>
  <si>
    <r>
      <rPr>
        <sz val="11"/>
        <color rgb="FFFF0000"/>
        <rFont val="Calibri"/>
        <family val="2"/>
        <scheme val="minor"/>
      </rPr>
      <t>EXFO</t>
    </r>
    <r>
      <rPr>
        <sz val="11"/>
        <color theme="1"/>
        <rFont val="Calibri"/>
        <family val="2"/>
        <scheme val="minor"/>
      </rPr>
      <t xml:space="preserve"> - Calibration not required (Leads self test on power up)</t>
    </r>
  </si>
  <si>
    <t>BD</t>
  </si>
  <si>
    <t>In your tool pouch</t>
  </si>
  <si>
    <t>Clip the Tester to the yellow loops on your safety belt</t>
  </si>
  <si>
    <t>Measure the length of the pair</t>
  </si>
  <si>
    <t>% Correct</t>
  </si>
  <si>
    <t>How would locate spare pairs on a cable or DP?</t>
  </si>
  <si>
    <r>
      <rPr>
        <sz val="11"/>
        <color rgb="FF9900CC"/>
        <rFont val="Calibri"/>
        <family val="2"/>
        <scheme val="minor"/>
      </rPr>
      <t>JDSU</t>
    </r>
    <r>
      <rPr>
        <sz val="11"/>
        <color theme="1"/>
        <rFont val="Calibri"/>
        <family val="2"/>
        <scheme val="minor"/>
      </rPr>
      <t xml:space="preserve"> - Leads should be calibrated at least once per month</t>
    </r>
  </si>
  <si>
    <r>
      <rPr>
        <sz val="11"/>
        <color rgb="FF9900CC"/>
        <rFont val="Calibri"/>
        <family val="2"/>
        <scheme val="minor"/>
      </rPr>
      <t>JDSU</t>
    </r>
    <r>
      <rPr>
        <sz val="11"/>
        <color theme="1"/>
        <rFont val="Calibri"/>
        <family val="2"/>
        <scheme val="minor"/>
      </rPr>
      <t xml:space="preserve"> - Leads should be calibrated on every use</t>
    </r>
  </si>
  <si>
    <r>
      <t>EXFO -</t>
    </r>
    <r>
      <rPr>
        <sz val="11"/>
        <rFont val="Calibri"/>
        <family val="2"/>
        <scheme val="minor"/>
      </rPr>
      <t xml:space="preserve"> Leads should be calibrated at least once per month</t>
    </r>
  </si>
  <si>
    <r>
      <rPr>
        <sz val="11"/>
        <color rgb="FFFF0000"/>
        <rFont val="Calibri"/>
        <family val="2"/>
        <scheme val="minor"/>
      </rPr>
      <t>EXFO</t>
    </r>
    <r>
      <rPr>
        <sz val="11"/>
        <color theme="1"/>
        <rFont val="Calibri"/>
        <family val="2"/>
        <scheme val="minor"/>
      </rPr>
      <t xml:space="preserve"> - Leads should be calibrated on every use</t>
    </r>
  </si>
  <si>
    <t>Disconnect the pair and listen for dial tone using butt set on tester</t>
  </si>
  <si>
    <t>On DIS capacitance, if you have the reading (80nf on the A leg and 150nf on the B leg) what would this indicate?</t>
  </si>
  <si>
    <t>Contact with a non worker</t>
  </si>
  <si>
    <t>Not an issue, long line test</t>
  </si>
  <si>
    <t>HR Dis on B leg</t>
  </si>
  <si>
    <t>Line test ok as has passed Fast Test</t>
  </si>
  <si>
    <t>CAL / OMI Questionnaire</t>
  </si>
  <si>
    <t>Drop-wire over a carriageway at a height of 5.3m</t>
  </si>
  <si>
    <t>Drop-wire over a carriageway at a height of 5.1m</t>
  </si>
  <si>
    <t>Aerial cable over the road at 5.2m</t>
  </si>
  <si>
    <t>All off the above as below 5.9m over a carriageway</t>
  </si>
  <si>
    <t>In what situation below are you NOT allowed to climb a pole?</t>
  </si>
  <si>
    <t>3m</t>
  </si>
  <si>
    <t>5.2m</t>
  </si>
  <si>
    <t>5.9m</t>
  </si>
  <si>
    <t>From where would you measure the height of a drop-wire crossing a road?</t>
  </si>
  <si>
    <t>At the Kerb side</t>
  </si>
  <si>
    <t>At the Centre of the carriageway</t>
  </si>
  <si>
    <t>At its lowest point where it crosses the carriageway</t>
  </si>
  <si>
    <t>What is the primary and most important reason to record the correct P.O.I?</t>
  </si>
  <si>
    <t>So the job can be audited to ensure correct standards are being met</t>
  </si>
  <si>
    <t>So future FVR (Fault volume reduction) plans can be put improve the quality of our network</t>
  </si>
  <si>
    <t>So your Field manager can visit site</t>
  </si>
  <si>
    <t>Tell Mr White, "BT offer a great service I would recommend them"</t>
  </si>
  <si>
    <t>Tell Mr White, " They offer a good service but I know a better one"</t>
  </si>
  <si>
    <t>Advise Mr White that there are many Broadband providers and he should contact them himself for information</t>
  </si>
  <si>
    <t>What is the maximum amount of drop-wire or UG cable allowed between the point of entry and the NTE5 in the customers premises for a new installation?</t>
  </si>
  <si>
    <t>2m</t>
  </si>
  <si>
    <t>Whatever the end user requests so long as within TRC banding</t>
  </si>
  <si>
    <t>Which Point of Intervention shown below is acceptable?</t>
  </si>
  <si>
    <t>When taking a dropwire into a customers premises how would you drill the hole through the external wall?</t>
  </si>
  <si>
    <r>
      <t>After Observing and testing for services using approved metal detector and discussing with the customer, drill from the inside out at an angle of between 90⁰ and 100</t>
    </r>
    <r>
      <rPr>
        <sz val="11"/>
        <color theme="1"/>
        <rFont val="Calibri"/>
        <family val="2"/>
      </rPr>
      <t>⁰ (Downward angle) with an 8mm drill bit.</t>
    </r>
  </si>
  <si>
    <r>
      <t>After Observing and testing for services using approved metal detector and discussing with the customer, drill from the outside in at an angle of between 90⁰ and 100</t>
    </r>
    <r>
      <rPr>
        <sz val="11"/>
        <color theme="1"/>
        <rFont val="Calibri"/>
        <family val="2"/>
      </rPr>
      <t>⁰ (Downward angle) with an 8mm drill bit.</t>
    </r>
  </si>
  <si>
    <t>Ask the customer where they want the hole drilled and then drill as requested.</t>
  </si>
  <si>
    <t>When suspending a dropwire from a pole, how should the cable be attached?</t>
  </si>
  <si>
    <t>Using a new drop-wire clamp, wrap the clamp around the dropwire all the way down the clamp</t>
  </si>
  <si>
    <t>Using a new drop-wire clamp, wrap the dropwire around the clamp all the way to the end of the clamp</t>
  </si>
  <si>
    <t>Reusing the old clamp if in good condition, wrap the clamp around the drop-wire all the way down the clamp</t>
  </si>
  <si>
    <t>When you require to re-tension a dropwire between a building and pole where should this be done from?</t>
  </si>
  <si>
    <t>From the top of the ladder on the building</t>
  </si>
  <si>
    <t>From the top of the pole (While wearing safety belt 11)</t>
  </si>
  <si>
    <t>Which of the following will try to find a better broadband profile that might increase the speed of the line?</t>
  </si>
  <si>
    <t>Service Detect &amp; DVOM</t>
  </si>
  <si>
    <t>DVOM / Digital Multimeter</t>
  </si>
  <si>
    <t>How would you test your HHT leads to ensure they are not faulty?</t>
  </si>
  <si>
    <t>Short all 3 leads together and use DVOM/Multimeter to look for 0Ω AB AE BE</t>
  </si>
  <si>
    <r>
      <t>Short all 3 leads together and use DVOM/Multimeter to look for &gt; 999M</t>
    </r>
    <r>
      <rPr>
        <sz val="11"/>
        <rFont val="Calibri"/>
        <family val="2"/>
      </rPr>
      <t>Ω AB AE BE</t>
    </r>
  </si>
  <si>
    <t>What fault conditions can cause AC balance to fail when carrying out a PQ test?</t>
  </si>
  <si>
    <t>AC balance doesn’t matter so you can ignore this</t>
  </si>
  <si>
    <t>Any Fault condition can potentially cause AC balance to fail, fixing the fault will improve AC balance</t>
  </si>
  <si>
    <t>AC balance only fails on long lines</t>
  </si>
  <si>
    <t>This result is probably due to testing a long line, typically over 7km and no further investigation in the network is required</t>
  </si>
  <si>
    <t>Changing a D-Side will fix this</t>
  </si>
  <si>
    <t>This is caused by faulty test heads and should be reported to the DCoE</t>
  </si>
  <si>
    <t>If your PQ test fails on Insulation Resistance AB this indicates?</t>
  </si>
  <si>
    <t>Short circuit/Loop</t>
  </si>
  <si>
    <t>Earth AB</t>
  </si>
  <si>
    <t>Battery AB</t>
  </si>
  <si>
    <t>Less than 90db</t>
  </si>
  <si>
    <t>More than 90db</t>
  </si>
  <si>
    <t>Exactly 0db</t>
  </si>
  <si>
    <t>To obtain a ‘CIDT line tests OK’ you can connect your HHT to the line under test to emulate?</t>
  </si>
  <si>
    <t>A telephone</t>
  </si>
  <si>
    <t>An ADSL modem</t>
  </si>
  <si>
    <t>A tone/oscillator</t>
  </si>
  <si>
    <t>When carrying out an RFL bridge test what condition must be applied at the far end of the line under test?</t>
  </si>
  <si>
    <t>Open circuit</t>
  </si>
  <si>
    <t>Earthed loop</t>
  </si>
  <si>
    <t>PQ test pass parameters are?</t>
  </si>
  <si>
    <t>Lower than standards stated in SIN349</t>
  </si>
  <si>
    <t>Equal to or higher than standards stated SIN349</t>
  </si>
  <si>
    <t>The same as standards stated in SIN349</t>
  </si>
  <si>
    <t>Contact your manager</t>
  </si>
  <si>
    <t>Contact the coaching help desk</t>
  </si>
  <si>
    <t>Contact the Mobile Workforce Service Desk on 0800 169 4747</t>
  </si>
  <si>
    <t>A quick and easy way to check for a good earth is to use the stand alone AC balance test with your HHT leads connected to a pair and earth. A good earth is indicated by an AC balance off?</t>
  </si>
  <si>
    <t>If your PQ test fails on only AC balance and all other parameters appear to be OK what is the most likely cause?</t>
  </si>
  <si>
    <t>Rectified Loop</t>
  </si>
  <si>
    <t>Earth Contact</t>
  </si>
  <si>
    <t>The majority of HHT issues can be resolved by consulting?</t>
  </si>
  <si>
    <t>Fixit</t>
  </si>
  <si>
    <t>Your Manager</t>
  </si>
  <si>
    <t>Coaches Helpdesk</t>
  </si>
  <si>
    <t>Which standalone function used in conjunction with TDR can help identify disconnections that are extremely close to your test location?</t>
  </si>
  <si>
    <t>Remove the jumper to disconnect the circuit so you can test each way</t>
  </si>
  <si>
    <t>One touch test</t>
  </si>
  <si>
    <t>Dis Capacitance</t>
  </si>
  <si>
    <t>What is the correct way to connect your HHT to the new Tool-less PCP strips?</t>
  </si>
  <si>
    <t>Use the test probe found in a box of crimps 8a t insert into the holes alongside the jumper wire</t>
  </si>
  <si>
    <t>Use the tool-less test adapter item code 082604</t>
  </si>
  <si>
    <t>What action should be taken when Capacitance Balance fails AB but is at, or close to 100% balanced?</t>
  </si>
  <si>
    <t>If your HHT still appears to be faulty and you are unable to resolve your issue as above where do you go next?</t>
  </si>
  <si>
    <t>Please answer all questions from below.  If you don’t know the answer don’t guess, leave it blank.</t>
  </si>
  <si>
    <t>Please enter your details here before continuing on.  You must also enable the macros or content if required by clicking "enable content" on the yellow bar above if asked.</t>
  </si>
  <si>
    <t>UG or First Look</t>
  </si>
  <si>
    <t>%Wrong</t>
  </si>
  <si>
    <t>Safety</t>
  </si>
  <si>
    <t>Module 3 - CAL / OMI</t>
  </si>
  <si>
    <t>TRC</t>
  </si>
  <si>
    <t>S</t>
  </si>
  <si>
    <t>You are installing a PSTN for Mr Rathbone from Mackie communications and Mr Rathbone asks if BT broadband is worth the money, how would you answer?</t>
  </si>
  <si>
    <t>P</t>
  </si>
  <si>
    <t>Q</t>
  </si>
  <si>
    <t>An existing Customers Dropwire is faulty and needs to be replaced.  There is 10 metres of existing dropwire inside the premises to the NTE5, with one extension.  What action is required by you?</t>
  </si>
  <si>
    <t>Renew the Dropwire to the existing NTE</t>
  </si>
  <si>
    <t>Renew the Dropwire to an internal BT85 within 2 metres of the entry point, and reconnect the existing wire to the old NTE</t>
  </si>
  <si>
    <t>Your working on a repair task in an SCC No1 (100pir strip cross connection) type cabinet.  The jumper wire is faulty, and you also observe damaged insulation and blue connectors on bunches you are working on. What must you do?</t>
  </si>
  <si>
    <t>Renew the jumper wire and replace the blue connectors</t>
  </si>
  <si>
    <t>Renew the jumper wire and raise an A1024 for the damaged pairs</t>
  </si>
  <si>
    <t>Renew the jumper wire, repair any damaged insulation and replace the blue bean connectors on both bunches you are working on using Non break crimps (11a)</t>
  </si>
  <si>
    <t>You are working in a cabinet with either a Krone, Quante or Tool-less connector blocks and your block is faulty.  What do you do?</t>
  </si>
  <si>
    <t>Replace the faulty block with a new block</t>
  </si>
  <si>
    <t>Remove your pair on the faulty block and crimp to the jumper wire</t>
  </si>
  <si>
    <t>Raise an A1024 for the faulty block</t>
  </si>
  <si>
    <t>Leave the mess but report it to your manager so that they can investigate further and take action</t>
  </si>
  <si>
    <t>Clear up all the scrap wiring inside and out leaving the areas tidy</t>
  </si>
  <si>
    <t>Close the cab up and leave the scrap wiring.  You didn’t leave it there in the first place</t>
  </si>
  <si>
    <t>How many AGC (Above Ground Closures) can be fitted and where should it be fitted if provided or if the lead in is renewed?</t>
  </si>
  <si>
    <t>One, at the customers fixing</t>
  </si>
  <si>
    <t>As many as required to complete the job</t>
  </si>
  <si>
    <t>What action should be taken with corroded inserts or connections on a block terminal 40 or 41a?</t>
  </si>
  <si>
    <t>Replace with new IDC mountings and IDC inserts in packs of 2 pairs or 3 pairs</t>
  </si>
  <si>
    <t>Clean the corroded inserts and spray with spray dewatering</t>
  </si>
  <si>
    <t>Replace the corroded insert with a new screw connector, clean all others and spray with dewatering spray</t>
  </si>
  <si>
    <t>What process should you follow if you can clear the customers fault and obtain a good fast test 2, however you cannot close the network to the quality standards?</t>
  </si>
  <si>
    <t>Close the task as incomplete TCLW which will raise a PAT fault to allow network to be brought up to standard, include comprehensive notes and include correct clear code. In addition complete any documentation and an A1024.</t>
  </si>
  <si>
    <t>Close the task as complete, line is back in service ok.</t>
  </si>
  <si>
    <t>Raise an A1024 for the network to be brought up to standard and close the task as completed.</t>
  </si>
  <si>
    <t>No problem, I will find out and come back to you</t>
  </si>
  <si>
    <t>Sorry.  I can't give you that information, you will have to contact their communications provider</t>
  </si>
  <si>
    <t>I'll get the details and email them to your boss</t>
  </si>
  <si>
    <t>You are working in a cabinet and you find scrap wiring lying around the cab, inside and out.  What should you do?</t>
  </si>
  <si>
    <t>T</t>
  </si>
  <si>
    <t>When can you temporarily erect a low dropwire over a road?</t>
  </si>
  <si>
    <t>When advised by your control, line manager or coach</t>
  </si>
  <si>
    <t>When you are submitting an A1024 to have it raised at a later date</t>
  </si>
  <si>
    <t>To give emergency service e.g. Doctors line, Police station etc</t>
  </si>
  <si>
    <t>Never</t>
  </si>
  <si>
    <t>5.9m, if 5.9m cannot be met then above 5.5m so long as a CAT4 A1024 is entered.</t>
  </si>
  <si>
    <t>Can an above ground closure be used to extend a short dropwire so that it can be terminated into a BT/BC connection?</t>
  </si>
  <si>
    <t>Yes as long as its not the dropwire you are working on</t>
  </si>
  <si>
    <t>How do you submit an A1024?</t>
  </si>
  <si>
    <t>Post it to 'One Step Planning'</t>
  </si>
  <si>
    <t>Post it to your Field Manager</t>
  </si>
  <si>
    <t>Ring the A1024 duty, use the A1024 website or enter on A1024 iphone APP</t>
  </si>
  <si>
    <t>Advise your FM on the phone</t>
  </si>
  <si>
    <t>When closing a fault, what must we do to show the customer the line is ok?</t>
  </si>
  <si>
    <t>Test line ok, close fault</t>
  </si>
  <si>
    <t>Demonstrate to the customer a good working line, explain the communications provider may run a test in the next 24 hours which could knock the line off for a few minutes and that it is normal.  Close task.</t>
  </si>
  <si>
    <t>You are working on a repair task and the customers own wiring is faulty, where can you find out if you are authorised to rectify this fault?</t>
  </si>
  <si>
    <t>TRC Banding shown on the task</t>
  </si>
  <si>
    <t>Ask the customer for permission</t>
  </si>
  <si>
    <t>Ask you manager</t>
  </si>
  <si>
    <t>You are working on a fault with no TRC banding and the customers wiring is faulty beyond the NTE5, what should you do?</t>
  </si>
  <si>
    <t>Rectify the issue and raise a TRC as the communications provider will already expect this if customers wiring is faulty.</t>
  </si>
  <si>
    <t>Disconnect the faulty wiring at the NTE5, advise the customer that the wiring is faulty and that they should contact their CP.  Close the fault with good notes.  TRC should be raised from QBC.</t>
  </si>
  <si>
    <t>You find a dropwire rubbed through by a tree inside the customers curtilage, should you TRC?</t>
  </si>
  <si>
    <t>You can only raise a TRC if banding on the job allows it</t>
  </si>
  <si>
    <t>Yes TRC should be raised as damage is within the customers curtilage</t>
  </si>
  <si>
    <t>No you cannot charge for damage before the NTE5</t>
  </si>
  <si>
    <t>Site the new NTE away from the source of dampness, raise a TRC and include good notes on the cause of the dampness</t>
  </si>
  <si>
    <t>Do not rectify, we cannot repair damage caused by water ingress in customers premises</t>
  </si>
  <si>
    <t>Replace the LJU with an NTE but don’t raise a charge</t>
  </si>
  <si>
    <t>You have replaced the internal wiring from a BT80 to the NTE5 and there is clear evidence of damage. Would you raise a TRC?</t>
  </si>
  <si>
    <t>No, monopoly wiring (before the NTE5) is not chargeable</t>
  </si>
  <si>
    <t>Yes, you should clear a 60.1C and raise a TRC</t>
  </si>
  <si>
    <t>You visit a CDTA task and there is No Access to the customers premises.  What is the correct process in this instance?</t>
  </si>
  <si>
    <t>Close the task off as No access with good notes.  No work required.</t>
  </si>
  <si>
    <t>Swap the D side PCP to DP in order to get a better line then close task.</t>
  </si>
  <si>
    <t>You visit a CDTnA task and gain access to the premises, the PQ test passes and no noise is confirmed on the line.  The customer reports to you that their broadband service has an issue.  What is the correct process in this instance?</t>
  </si>
  <si>
    <t>Explain to the customer you are unable to fix their broadband.  Refer them back to their CP.  Close 16.2 and raise a TRC</t>
  </si>
  <si>
    <t>Fault the line further to achieve a level of service acceptable to the customer</t>
  </si>
  <si>
    <t>Further the task back with notes saying a Broadband engineer is required</t>
  </si>
  <si>
    <t>You are at the customers premises and have completed the job.  Where should you close the job off from?</t>
  </si>
  <si>
    <t>The customers premises, or from the van where it is parked</t>
  </si>
  <si>
    <t>Drive round the corner out of view of the customer, in case they come back out and ask for more to be done</t>
  </si>
  <si>
    <t>The local exchange</t>
  </si>
  <si>
    <t>Replace all of the old obsolete dropwire to the NTE</t>
  </si>
  <si>
    <t>Replace the span from DP to customer fixing and box it on the wall using AGC.</t>
  </si>
  <si>
    <t>You are working on a fault and need to replace a faulty dropwire.  You find a bracket 22 (triangle bracket with 3 screws) attached to the brickwork.  What should you do?</t>
  </si>
  <si>
    <t>Nothing, its ok to reuse this existing fixing as long as you use a new clamp.</t>
  </si>
  <si>
    <t>Replace the fixing in the brick with an eyebolt.</t>
  </si>
  <si>
    <t>Either option is acceptable</t>
  </si>
  <si>
    <t>Lid on the DP properly</t>
  </si>
  <si>
    <t>Correct type of dropwire providing service</t>
  </si>
  <si>
    <t>Any open Joints on dropwire</t>
  </si>
  <si>
    <t>Height of cable span</t>
  </si>
  <si>
    <t>You replace the inserts on a BT41 and refit the lid but the lid is broken.  What should you do?</t>
  </si>
  <si>
    <t>Replace the lid with a new lid</t>
  </si>
  <si>
    <t>Cover with a plastic Bag and raise an A1024</t>
  </si>
  <si>
    <t>Nothing as long as the lid fits properly it will be ok</t>
  </si>
  <si>
    <t>You visit a CDTA task and there is no existing wiring at the property, what is the correct process you would follow?</t>
  </si>
  <si>
    <t>Treat the job as a failed provision, regardless of the work the has been completed.  Clear the job as an 81.4R (OR QBC) and do not apply a TRC</t>
  </si>
  <si>
    <t>Close the job with notes stating no wiring exists and advise the customer to contact their CP</t>
  </si>
  <si>
    <t>Complete the provision and close the job off with a TRC for work completed.</t>
  </si>
  <si>
    <t>You visit a CDTA LTOK stable task, you gain access, initial PQ test passes and no voice issues are identified.  What is the process in this instance?</t>
  </si>
  <si>
    <t>Speak with the customer and find out what the issue was reported as then fault the line accordingly</t>
  </si>
  <si>
    <t>No further work required as line tested ok.  Close task and clear as a 51.3</t>
  </si>
  <si>
    <t>Up to 2 hours from point of entry</t>
  </si>
  <si>
    <t>Up to 1 hour from point of entry</t>
  </si>
  <si>
    <t>There is no time limit, NTE must be fitted where requested by the customer</t>
  </si>
  <si>
    <t>What is the maximum time allowed to provide an NTE5 to a location agreed by a customer on a WLR3 premium task?</t>
  </si>
  <si>
    <t>Up to 4 hours from point of entry</t>
  </si>
  <si>
    <t>The customer should be referred back to their CP and no further Openreach installation work completed.  Close as incomplete, awaiting resolution by the CP</t>
  </si>
  <si>
    <t>Complete the work as requested but apply a TRC for the extra work needed</t>
  </si>
  <si>
    <t>Fit the NTE5 in a location within guidelines and close the job, refer the customer to their CP</t>
  </si>
  <si>
    <t>You visit a WLR3 basic task and there are 2 hours banding on the task.  The customer requests an extension to be run after the NTE5 is installed which has taken an hour after point of entry.  The extension work will take a further 90 minutes, what is the process in this situation?</t>
  </si>
  <si>
    <t>Fit the NTE5 and then close the task, refer the customer back to their CP for extra banding</t>
  </si>
  <si>
    <t>Process</t>
  </si>
  <si>
    <t>Correct</t>
  </si>
  <si>
    <t>Max</t>
  </si>
  <si>
    <t>%Correct</t>
  </si>
  <si>
    <t>UG Questionnaire</t>
  </si>
  <si>
    <t>Frames Questionnaire</t>
  </si>
  <si>
    <t>IPhone Questionnaire</t>
  </si>
  <si>
    <t>**** Questionnaire</t>
  </si>
  <si>
    <t>If your Phone locks up and stops responding, how can you resolve this?</t>
  </si>
  <si>
    <t>Disconnect then reconnect the battery</t>
  </si>
  <si>
    <t>How do you reset your ‘Good’ password if you have forgotten it or if you are locked out?</t>
  </si>
  <si>
    <t>You can reset it yourself by following the instruction at FixIT article 11684</t>
  </si>
  <si>
    <t>Restart your iPhone</t>
  </si>
  <si>
    <t>When would you use the contingency app and what does it do?</t>
  </si>
  <si>
    <t>It can only be used in emergency situations during service outages and allows sign on, progress jobs book lunch and sign off</t>
  </si>
  <si>
    <t>It can be used at any time and is used instead of My Jobs</t>
  </si>
  <si>
    <t>It can be used at any time and is used instead of Engineer.com</t>
  </si>
  <si>
    <t>What app would you use to report an issue with contractor quality?</t>
  </si>
  <si>
    <t>Good</t>
  </si>
  <si>
    <t>MyJobs</t>
  </si>
  <si>
    <t>Candid</t>
  </si>
  <si>
    <t>Can you install 3rd Party apps (Apps from the apple apps store)?</t>
  </si>
  <si>
    <t>Under no circumstances must 3rd party apps be installed to your phone as these could be a security risk</t>
  </si>
  <si>
    <t>Yes, but only approved 3rd party apps can be installed using the allowedapps app</t>
  </si>
  <si>
    <t>It's ok to install any app as long as they are free to download</t>
  </si>
  <si>
    <t>What is the best method to store phone numbers and contact details on your iphone?</t>
  </si>
  <si>
    <t>Use the contacts app preinstalled on the Iphone</t>
  </si>
  <si>
    <t>Use the notepad app on the phone</t>
  </si>
  <si>
    <t xml:space="preserve">Use the contacts tab in Good as this synchronises with Outlook on your laptop and is backed up </t>
  </si>
  <si>
    <t>What is the quickest method for resolving issues when your VPN appears to have stopped working?</t>
  </si>
  <si>
    <t>Activate then deactivate airplane mode in the settings or by swiping up from the bottom of the phone</t>
  </si>
  <si>
    <t>If you are having issues with your iPhone and FixIT hasn’t helped, who should you contact next?</t>
  </si>
  <si>
    <t>An Iphone Gold user</t>
  </si>
  <si>
    <t>What is the first step to take if you have lost or had your iPhone stolen?</t>
  </si>
  <si>
    <t>Contact your Manager</t>
  </si>
  <si>
    <t>Contact BT Security on 0800 321 999</t>
  </si>
  <si>
    <t>Which app can be used to help direct you to parts of the network such as DP’s or PCP’S?</t>
  </si>
  <si>
    <t>FPQ</t>
  </si>
  <si>
    <t>My Jobs</t>
  </si>
  <si>
    <t>Maps</t>
  </si>
  <si>
    <t>Copilot</t>
  </si>
  <si>
    <t>Which app contains lots of useful information such as app user guides, instructional videos and process guides?</t>
  </si>
  <si>
    <t>Media Store</t>
  </si>
  <si>
    <t>Which app can give you quick access to resolve common issues thus saving the need to contact help desks?</t>
  </si>
  <si>
    <t>FixIT</t>
  </si>
  <si>
    <t>Permissions</t>
  </si>
  <si>
    <t>Which app allows you to view current and back issues of the Field Engineering News?</t>
  </si>
  <si>
    <t>FEN</t>
  </si>
  <si>
    <t>Which app can be used to gather and record photographic evidence of damage in the network?</t>
  </si>
  <si>
    <t>ProveIt+</t>
  </si>
  <si>
    <t>Wired</t>
  </si>
  <si>
    <t>Network History</t>
  </si>
  <si>
    <t>Camera</t>
  </si>
  <si>
    <t>Which app would you use to record written permission to dig on private property?</t>
  </si>
  <si>
    <t>Perm to Dig</t>
  </si>
  <si>
    <t>Speak to a Gold User</t>
  </si>
  <si>
    <t>From the Home screen on Iphone, tap settings, General, Software Update</t>
  </si>
  <si>
    <t>Myjobs</t>
  </si>
  <si>
    <t>Magicmaps</t>
  </si>
  <si>
    <t>You are working on a task in a large store and cannot find the internal DP, what may help you track it down?</t>
  </si>
  <si>
    <t>Use the A1024 app on the Iphone</t>
  </si>
  <si>
    <t>Use proveit and email the results to A1024 Duty</t>
  </si>
  <si>
    <t>Contact the A1024 duty on the phone</t>
  </si>
  <si>
    <t>Yes, by using copilot you can judge the location</t>
  </si>
  <si>
    <t>Yes, by using magicmaps you can use the GPS on the phone to walk to your measure</t>
  </si>
  <si>
    <t>Send an email on Good</t>
  </si>
  <si>
    <t>Using the reward App</t>
  </si>
  <si>
    <t>Send a text</t>
  </si>
  <si>
    <t>Can you listen to Reach365 on the Iphone?</t>
  </si>
  <si>
    <t>Yes, on safari by navigating to the webpage</t>
  </si>
  <si>
    <t>Yes, by using the Reach 365 app</t>
  </si>
  <si>
    <t>No, you cant stream music like that on the Iphone as it costs too much for the data</t>
  </si>
  <si>
    <t>What is the purpose of the wired app?</t>
  </si>
  <si>
    <t>App for viewing loop articles</t>
  </si>
  <si>
    <t>Both of the above</t>
  </si>
  <si>
    <t>How often should you refresh your mydetails app?</t>
  </si>
  <si>
    <t>Regularly to keep your details up to date</t>
  </si>
  <si>
    <t>Only when a change has occurred eg. Your OUC or you are required to update (refreshing while logged onto myjobs can cause issues)</t>
  </si>
  <si>
    <t>Once a month</t>
  </si>
  <si>
    <t>On the Iphone use the App Status App</t>
  </si>
  <si>
    <t>If an app stops working how can you tell if an issue is reported or there are ongoing issues?</t>
  </si>
  <si>
    <t>You need to reinstall Good as your emails are not working but you need a new licence where do you get this?</t>
  </si>
  <si>
    <t>Following the fixIT Log onto Good on you’re laptop, or ask your manager and generate a good pin to reinstall</t>
  </si>
  <si>
    <t>Delete and reinstall doesn’t need a new licence as already been on the phone just reinstall</t>
  </si>
  <si>
    <t>Can the in-line closure be used as a Pedcap type closure?</t>
  </si>
  <si>
    <t>No, you can only use the inline closure to bring cables in from either end</t>
  </si>
  <si>
    <t>Yes, as long as all the ports and inserts are properly sealed</t>
  </si>
  <si>
    <t>Yes, if approved in advance by a planner</t>
  </si>
  <si>
    <t>If connectors wire 1A (Blue beans) are encountered whilst working in an existing joint what action must be taken?</t>
  </si>
  <si>
    <t>If less than 50 pairs connected then recrimp all the pairs removing the blue beans with crimps 11A (Non break), if more than 50 pairs connected then raise A1024</t>
  </si>
  <si>
    <t>Raise an a1024 for joint to be remade</t>
  </si>
  <si>
    <t>Remake the first 50 pairs in the joint and then raise an A1024 for the remaining pairs to be replaced if more than 50 pairs connected</t>
  </si>
  <si>
    <t>What do you do with the glue block left over on the cable when using a mechanical closure as a reclosure for the pedcap 1G?</t>
  </si>
  <si>
    <t>Fit inside the closure and seal around the cable ensuring the gel seals completely around the cable</t>
  </si>
  <si>
    <t>Remove the block and rub the cable with sandpaper to clean properly before fitting in the closure</t>
  </si>
  <si>
    <t>Cut back on the cable below the glue block to remove all glue and get to a fresh bit of cable</t>
  </si>
  <si>
    <t>Can a mechanical closure be used to accommodate the remains of any other closures?</t>
  </si>
  <si>
    <t>Yes so long as you can fit the remains of the old closure inside the joint without obstructing the joint or damaging the pairs</t>
  </si>
  <si>
    <t>No, you must fully remove the old closure before fitting inside the new joint</t>
  </si>
  <si>
    <t>Yes, it can be used without an issue</t>
  </si>
  <si>
    <t>Can internal cable or dropwire type cable be incorporated into a mechanical closure?</t>
  </si>
  <si>
    <t>Yes, but only if used in an internal situation and is not exposed to external elements</t>
  </si>
  <si>
    <t>If the closure is still in good working order, dry and clean then it can be left in use</t>
  </si>
  <si>
    <t>You must replace the closure with a new clip style closure</t>
  </si>
  <si>
    <t>Remake your pair and raise an A1024 for the joint to be remade</t>
  </si>
  <si>
    <t>When can you fit a temporary closure on a joint within your POI, when clearing a fault?</t>
  </si>
  <si>
    <t>When there is lack of stores on the vehicle</t>
  </si>
  <si>
    <t>When there is insufficient time to fit a permanent closure</t>
  </si>
  <si>
    <t>Where it's impossible to fit a permanent closure</t>
  </si>
  <si>
    <t>When you have cleared a fault in a joint, when is it permissible to leave the joint open?</t>
  </si>
  <si>
    <t>When there is insufficient time to fit a permanent or temporary closure</t>
  </si>
  <si>
    <t>Where it is impossible to fit a permanent or temporary closure and you seek advice from your OM or a coach before raising at PAT fault</t>
  </si>
  <si>
    <t>When control have contacted you to go to a more Urgent fault somewhere</t>
  </si>
  <si>
    <t>What do you do if you observe an open joint on a cable you are not working on?</t>
  </si>
  <si>
    <t>Ignore it, its not on your cable so not your issue</t>
  </si>
  <si>
    <t>Contact the control for permission and time to repair the joint, if no time submit an A1024</t>
  </si>
  <si>
    <t>Drop an email to your manager to flag the open joint and close the task as normal</t>
  </si>
  <si>
    <t>The 100 pair cable joint you are working on is wet and corroded and up to 45 pairs are jointed through, what should you do?</t>
  </si>
  <si>
    <t>Damage</t>
  </si>
  <si>
    <t>fit a new closure and submit an A1024 - for joint to be remade</t>
  </si>
  <si>
    <t>Submit an A1024 for open/wet joint</t>
  </si>
  <si>
    <t>What should you do if the 20pr cable worked on has blue crimps in it which are dry and corrosion free?</t>
  </si>
  <si>
    <t>Remake or re-crimp the affected pairs using Crimps 11a and then close to the correct quality standards</t>
  </si>
  <si>
    <t>Nothing, close the joint to the quality standards as the crimps are in perfect condition</t>
  </si>
  <si>
    <t>Raise an A1024 for blue beans but leave the joint sealed</t>
  </si>
  <si>
    <t>The sleeve 31A (Resin filled Ports) you are working on has a loose cable in the base.  The cable pairs are dry and corrosion free and have CWI on, what are your options?</t>
  </si>
  <si>
    <t>If possible close it to the quality standards using closure sealant 10b to top up the existing old type resin</t>
  </si>
  <si>
    <t>If not possible to seal, fit a new approved closure</t>
  </si>
  <si>
    <t>Ignore it and close the joint as its dry inside and will be ok</t>
  </si>
  <si>
    <t>A and B</t>
  </si>
  <si>
    <t>When you don’t have sufficient time to complete the fault</t>
  </si>
  <si>
    <t>When the fault is proved into a ducted length of cable</t>
  </si>
  <si>
    <t>What remedial action should be taken on stumped cables which enter the joint you are working on?</t>
  </si>
  <si>
    <t>Fit a sealing cap appropriate to the cable size, seal by heat or with dexbond</t>
  </si>
  <si>
    <t>Cut the cable free and fill gap with dexbond</t>
  </si>
  <si>
    <t>Leave the cable as is, its dry so will be ok</t>
  </si>
  <si>
    <t>What actions should be taken when working on a sleeve 30 series closure when there are multiple cables contained within a heat shrink port?</t>
  </si>
  <si>
    <t>Use Sealant 10b (red) to seal closures containing more than the recommended number of cables.  Any closure with 2 or more cables should be sealed with sealant 10b</t>
  </si>
  <si>
    <t>Raise an a1024 for the joint to be remade</t>
  </si>
  <si>
    <t>The joint is clean and dry so leave it alone it will be ok</t>
  </si>
  <si>
    <t>What are the colours of the A and B of the marker pairs (First pair) in a concentric cable?</t>
  </si>
  <si>
    <t>A leg green B leg Black</t>
  </si>
  <si>
    <t>A leg red B leg Blue</t>
  </si>
  <si>
    <t>A leg orange B leg white</t>
  </si>
  <si>
    <t>What are the colours of the A and B of the reference pairs (last pair) in a concentric cable?</t>
  </si>
  <si>
    <t>What is the colour of the whipping on pair 7 of a 50 pair PET cable</t>
  </si>
  <si>
    <t>Blue</t>
  </si>
  <si>
    <t>Brown</t>
  </si>
  <si>
    <t>What is the colour of the A and B legs on pair 7 of a 50 pair PET cable</t>
  </si>
  <si>
    <t>A - Red / B - Orange</t>
  </si>
  <si>
    <t>A - Red / B - Brown</t>
  </si>
  <si>
    <t>A - white / B - Blue</t>
  </si>
  <si>
    <t>What is the colour of the whipping on pair 31 of a 50 pair PET cable</t>
  </si>
  <si>
    <t>What is the colour of the A and B legs on pair 31 of a 50 pair PET cable</t>
  </si>
  <si>
    <t>What is the colour of the whipping on pair 49 of a 50 pair PET cable</t>
  </si>
  <si>
    <t>What is the colour of the A and B legs on pair 49 of a 50 pair PET cable</t>
  </si>
  <si>
    <t>Grey</t>
  </si>
  <si>
    <t>The open joint you have just remade has an a1024 label attached, what do you do with the label?</t>
  </si>
  <si>
    <t>Return it to planning, or advise planning giving details</t>
  </si>
  <si>
    <t>advise your Manager</t>
  </si>
  <si>
    <t>Advise the A1024 duty</t>
  </si>
  <si>
    <t>While working on a 34 closure and a bolt is damaged or cross headed what should you do?</t>
  </si>
  <si>
    <t>Replace the closure with a new 34 type closure</t>
  </si>
  <si>
    <t>Replace the closure with a new clip type closure</t>
  </si>
  <si>
    <t>Raise an A1024 for open joint</t>
  </si>
  <si>
    <t>If the rubber seal is missing on a 34 closure what should you do?</t>
  </si>
  <si>
    <t>Fit a new seal if you have one available, or fit a new type clip closure if you do not</t>
  </si>
  <si>
    <t>Rubber seals are not required on these joints so leave it as is if it dry</t>
  </si>
  <si>
    <t>Raise an A1024 for an open joint</t>
  </si>
  <si>
    <t>If the gel seal is missing on any port on a 34 type closure what should you do?</t>
  </si>
  <si>
    <t>Ensure the joint is serviceable and fit a new gel tape, otherwise replace with a new clip style closure</t>
  </si>
  <si>
    <t>Replace with a clip style closure</t>
  </si>
  <si>
    <t>Replace the bolts if available, if not replace with a new clip style joint</t>
  </si>
  <si>
    <t>Leave the joint as is and report to you manager so the net engineer can replace the missing bolt</t>
  </si>
  <si>
    <t>When working on a 34 type joint and the cables are not restrained (strapped up) what should you do?</t>
  </si>
  <si>
    <t>Fit cable ties to restrain</t>
  </si>
  <si>
    <t>Replace with a new clip style closure</t>
  </si>
  <si>
    <t>When opening a UG box, what safety precautions must you follow before you remove the lid?</t>
  </si>
  <si>
    <t>Guard of the area from pedestrians</t>
  </si>
  <si>
    <t>Check the condition of the box lid</t>
  </si>
  <si>
    <t xml:space="preserve">Break the seal on the lid and then Gas test at the opening </t>
  </si>
  <si>
    <t>Do not open the box lid, report as an A1024</t>
  </si>
  <si>
    <t>Request an assist and find another safe method of opening the lid</t>
  </si>
  <si>
    <t>When trying to open a JRC Silent night lid you find the lid stuck shut, how can you try and free this?</t>
  </si>
  <si>
    <t>Drive the van back and forward over the lid before trying again</t>
  </si>
  <si>
    <t>Using your metal roller bar gently tap the edges of the box lid to loosen them up before trying to open</t>
  </si>
  <si>
    <t>Using a block of wood while some pressure is applied to the lifter, knock the edges of the lid to free</t>
  </si>
  <si>
    <t>On setting up your JRC mechanical lifters you notice fluid leaking from the main barrel, what should you do?</t>
  </si>
  <si>
    <t>Clean the fluid of and check it topped up if possible, if still functioning correctly use as normal</t>
  </si>
  <si>
    <t>Stop using the lifter and have it checked as soon as possible by your EYP tester</t>
  </si>
  <si>
    <t>Report the leak to your manager and take their advice on whether or not to carry on</t>
  </si>
  <si>
    <t>You need to access a JB23 (Small joint box) just for a second to have a quick look, do you need to test for Gas?</t>
  </si>
  <si>
    <t>If you are just lifting the edge of the lid and looking inside then you do not need to test for gas</t>
  </si>
  <si>
    <t>Yes, you must test for Gas on every UG structure before doing anything with it.</t>
  </si>
  <si>
    <t>You only need to test for Gas if you are removing the lid completely to work in the box</t>
  </si>
  <si>
    <t>Module 4 - UG</t>
  </si>
  <si>
    <t>UG</t>
  </si>
  <si>
    <t>Which two items of Mandatory PPE should be worn when working on an MDF?</t>
  </si>
  <si>
    <t>Safety Footwear (Boots, Shoes or trainers) and Safety Eyewear (Safety Goggles, Safety Glasses)</t>
  </si>
  <si>
    <t>Safety Footwear (Boots, Shoes or trainers) and Safety Hat (Bump cap or Hard Hat)</t>
  </si>
  <si>
    <t>Safety Hat (Bump cap or Hard Hat) and Safety Eyewear (Safety Goggles, Safety Glasses)</t>
  </si>
  <si>
    <t>Which two Safety Checks should be carried out before work commences at level 9 on an MDF?</t>
  </si>
  <si>
    <t>Risk Assessment and an Access Equipment Safety Check (Travelling Ladders, etc)</t>
  </si>
  <si>
    <t xml:space="preserve">High voltage Electrical Notices available and Risk Assessment </t>
  </si>
  <si>
    <t>Access Equipment Safety Check (Travelling Ladders, etc) and Floor area clear of obstructions</t>
  </si>
  <si>
    <t>What must you do if you encounter 240volts A.C on the MDF?</t>
  </si>
  <si>
    <t>Stop Work Immediately, Display Hazardous Voltage sign on MDF, remain on site.  Do Not allow anyone to work on the MDF.  Test the Circuit to confirm 'Hazardous Voltage Present'.  Report the incident to Frame Manager and your work control.  Follow full procedure on ISIS: PRD/MDF/B115 - 'Hazardous Voltages on MDF'</t>
  </si>
  <si>
    <t>Disconnect the pair from the frame to prevent voltage from being present on other circuits and report the incident to the Frame Manager with details on the circuit presenting the high voltage</t>
  </si>
  <si>
    <t>Module 6 - Frames</t>
  </si>
  <si>
    <t>Frames</t>
  </si>
  <si>
    <t>If the eyehole on a JF4 is worn what action should you take?</t>
  </si>
  <si>
    <t>Using a Kiss tool on the worn opening remove the lid carefully as normal</t>
  </si>
  <si>
    <t>Remake using 'no break method' and close joint to quality standards</t>
  </si>
  <si>
    <t>CAL OMI</t>
  </si>
  <si>
    <t>Holding in the power and home button until the apple symbol appears will perform a phone restart</t>
  </si>
  <si>
    <t>Another engineers tools are lying on the step of the traveling ladder you are using what should you do?</t>
  </si>
  <si>
    <t>Move the tools from the steps onto the floor so the steps are clear for you to use</t>
  </si>
  <si>
    <t>Push the tools to the side so you can still use the ladder ok</t>
  </si>
  <si>
    <t>Ask the engineer to remove the tools from the steps so they are completely clear or move them yourself</t>
  </si>
  <si>
    <t>You enter an exchange to work and another engineer is working, his solder bolt cable is trailing across the floor, what should you do?</t>
  </si>
  <si>
    <t>On a soldered termination, how much gap should there be between the 'Insulation' and the 'tag'?</t>
  </si>
  <si>
    <t>1mm</t>
  </si>
  <si>
    <t>2mm</t>
  </si>
  <si>
    <t>5mm</t>
  </si>
  <si>
    <t>On an MDF if you run a jumper that is less than 9m how much slack should be provided when terminating?</t>
  </si>
  <si>
    <t>50mm (Wrapped round your index finger once)</t>
  </si>
  <si>
    <t>100mm (Wrapped round your first two fingers)</t>
  </si>
  <si>
    <t>150mm (Wrapped round your first 3 fingers)</t>
  </si>
  <si>
    <t>On an MDF if you run a jumper that is longer than 9m how much slack should be provided when terminating?</t>
  </si>
  <si>
    <t>When terminating a Soldered jumper, how many times should the 'stripped' bare jumper wire be wrapped around the notches of the tag?</t>
  </si>
  <si>
    <t>Two and a half times</t>
  </si>
  <si>
    <t>One and a half times</t>
  </si>
  <si>
    <t>At least once so long as it secure and properly soldered</t>
  </si>
  <si>
    <t>You provide a new jumper to a block and the fuse was manufactured before Week 15, 1990 what should you do?</t>
  </si>
  <si>
    <t>Check the line is working ok and leave it as is</t>
  </si>
  <si>
    <t>Swap the fuse with another one in another port</t>
  </si>
  <si>
    <t>Replace the fuse with a new type fuse and dispose of the old one</t>
  </si>
  <si>
    <t>You are working on a solder type MDF and notice a 'Dry Joint' on the block you are working on, what do you do?</t>
  </si>
  <si>
    <t>Re-solder the dry joint and then check all the other joints on the block to bring up to standard</t>
  </si>
  <si>
    <t>Ignore it as you only need to worry about your own jumper wire</t>
  </si>
  <si>
    <t>If Debris is left in an IDC connection after a jumper has been recovered, would it fail a Quality Audit?</t>
  </si>
  <si>
    <t>Yes, this is a 5 point defect.  All scrap should be recovered.</t>
  </si>
  <si>
    <t>No this is not a defect</t>
  </si>
  <si>
    <t>Only a defect if the scrap left in the IDC is bare</t>
  </si>
  <si>
    <t>What must you do with old jumper wire when you disconnect and old circuit?</t>
  </si>
  <si>
    <t>Cut the ends of the wire and leave the jumper on the bed where it lies</t>
  </si>
  <si>
    <t>Remove the jumper wire from the bed and put it in the nearest bin</t>
  </si>
  <si>
    <t>What must you do if your eclipse test fails on providing a new jumper wire on a circuit?</t>
  </si>
  <si>
    <t>Close the task off, likely a fault out to field</t>
  </si>
  <si>
    <t>Further the job to the field for a UG engineer</t>
  </si>
  <si>
    <t>If you are working on an MPF (Data Only) Circuit, which test should you carry out on completion of your task?</t>
  </si>
  <si>
    <t>Eclipse Test</t>
  </si>
  <si>
    <t>CSS Rat Test</t>
  </si>
  <si>
    <t>What CSS transaction could you use to find the LIC/Conc information on your circuit?</t>
  </si>
  <si>
    <t>DOCE</t>
  </si>
  <si>
    <t>DRT</t>
  </si>
  <si>
    <t>DCS</t>
  </si>
  <si>
    <t>What CSS transaction could you use to find the Mapping on your circuit?</t>
  </si>
  <si>
    <t>DFJ</t>
  </si>
  <si>
    <t>What CSS transaction could you use to find the Bar Pair on your circuit?</t>
  </si>
  <si>
    <t>Test Access Matrix - Test Equipment for MPF Circuits</t>
  </si>
  <si>
    <t>Total ADSL Monitor - Monitor ADSL performance</t>
  </si>
  <si>
    <t>Test Analogue Meter - Testing Analogue Pathways</t>
  </si>
  <si>
    <t>What functions could the TAM perform?</t>
  </si>
  <si>
    <t>What is a TAM?</t>
  </si>
  <si>
    <t>Remote Testing of MPF Circuits</t>
  </si>
  <si>
    <t>Look IN Test - checks towards the CP</t>
  </si>
  <si>
    <t>Look OUT Test - Checks towards the customer</t>
  </si>
  <si>
    <t>If you continually have line test problems at a site who do you contact?</t>
  </si>
  <si>
    <t>Line Test systems helpdesk through the DCoE</t>
  </si>
  <si>
    <t>Your manager (Frames Manager)</t>
  </si>
  <si>
    <t>The local Operations Manager</t>
  </si>
  <si>
    <t>While carrying out a Frames Task, you identify that your working circuit is on a different Bar Pair to that shown in the records.  What action must you take?</t>
  </si>
  <si>
    <t>Verify the Bar Pair on your task is either shown as spare or has another working circuit on it then update CSS records for both circuits with either Routing and records or CARO</t>
  </si>
  <si>
    <t>Move the jumper over to the bar pair quoted, remove any other jumper on required pair if already existing</t>
  </si>
  <si>
    <t>Further the job back with good notes detailing the problem you have found</t>
  </si>
  <si>
    <t>Do you have an HHT</t>
  </si>
  <si>
    <t>Please say whether or not you have a Hand Held Tester, either an Exfo or a JDSU</t>
  </si>
  <si>
    <t>Please indicate whether or not you are trained and skilled on Copper Provision Work</t>
  </si>
  <si>
    <t>Please indicate whether or not you are trained to work in the Underground Network, Either First look or UG</t>
  </si>
  <si>
    <t>Please indicate whether or not you are trained and skilled on our range of Broadband Products (Not including Fibre)</t>
  </si>
  <si>
    <t>Broadband/Fibre</t>
  </si>
  <si>
    <t>On the Delta R / Resistive balance tests, what would (120ohms A leg, 135ohms B leg) indicate?</t>
  </si>
  <si>
    <t>Short leads together and run RFL Bridge Test.</t>
  </si>
  <si>
    <t>When you are happy that you have answered all of the question above, you can continue by clicking the complete button bellow.  Be aware that once you click the button your answers cannot be modified so please ensure you are happy with your selections.  Remember if you don't know then don't guess, leave the answers blank.</t>
  </si>
  <si>
    <t>When engaged on a Frames Direct module on an SFI2 task where would you begin the task?</t>
  </si>
  <si>
    <t>Apart from the customers premises, where else would you expect to find a device that separates the BB and telephony signals?</t>
  </si>
  <si>
    <t>Yes, but Redcare is only compatible with ADSL</t>
  </si>
  <si>
    <t>What is the minimum height you must erect a drop-wire over a normal carriageway?</t>
  </si>
  <si>
    <t>Either location providing you have good visibility of the road the cable is crossing</t>
  </si>
  <si>
    <t>As an Openreach engineer, you are asked by a BT Wholesale Engineer for information and your customers details.  How would you answer?</t>
  </si>
  <si>
    <t>Demonstrate a good working line and close task</t>
  </si>
  <si>
    <t>Three, so long as secured appropriately</t>
  </si>
  <si>
    <t>You are working on an In-situ provide and all wiring exists.  Dial tone ok at NTE and testing ok.  What must you check when completing your visual inspection?</t>
  </si>
  <si>
    <t xml:space="preserve">You are on an In-situ provide and everything already exists with dial tone at the NTE in the customers premises.  On your visual inspection you find a single span of obsolete dropwire (eg. Dropwire 6). What should you do? </t>
  </si>
  <si>
    <t>Nothing, there's no damage and no joints on the dropwire so it can be left as is.</t>
  </si>
  <si>
    <t>Complete a PQ test at last accessible point of intervention, if PQ passes and no audible noise issues then close job as 16.8 (or QBC) and apply TRC.</t>
  </si>
  <si>
    <t>As the customer for permission to rectify the issue advising that the work is chargeable, complete the work and raise a TRC on the task</t>
  </si>
  <si>
    <t>You find an old T logo socket in a customers premises that's clearly been affected by dampness in the premises, what should you do?</t>
  </si>
  <si>
    <t>No further network investigation or work should be undertaken and the job should be closed a 151.3 with a TRC</t>
  </si>
  <si>
    <t>What is the maximum time allowed to provide an NTE5 to a location agreed by a customer from point of entry on a WLR3 basic / MPF task?</t>
  </si>
  <si>
    <t>If the customer insists the NTE5 location is provided outside the flexible demarcation guidelines what is the process in this instance?</t>
  </si>
  <si>
    <t>What action should be taken when working on an obsolete UG type closure?</t>
  </si>
  <si>
    <t>The customers line you are working on has a battery fault proved to a D side cable pair.  When can you restore service by using a pair change within the cable joint to joint?</t>
  </si>
  <si>
    <t>When the fault is proved into a buried section of cable</t>
  </si>
  <si>
    <t>If a bolt is missing on a 34 type closure what should you do?</t>
  </si>
  <si>
    <t>Nothing, this isn't an issue so leave the joint alone</t>
  </si>
  <si>
    <t>You are working in a box on a joint and observe an open joint on another cable, what's the best way of logging this?</t>
  </si>
  <si>
    <t>Is it possible to find a good location on a buried cable from a measure at the DP using the iphone?</t>
  </si>
  <si>
    <t>No, the GPS isn't accurate enough to identify where you are walking</t>
  </si>
  <si>
    <t>What's the best way to say thanks to a colleague other than verbally?</t>
  </si>
  <si>
    <t>Social Media site for BT and BT group employees to share what's going on day to day</t>
  </si>
  <si>
    <t>Stop work and notify your manager, Display a hazardous voltages sign on the frame and move onto your next work location</t>
  </si>
  <si>
    <t>Remember where the cable is a be careful not to trip on it</t>
  </si>
  <si>
    <t>Unplug the trailing cable if possible and plug it back in closer to the engineer so that the cable isn't trailing</t>
  </si>
  <si>
    <t>Do nothing, the cable isn't your concern the engineer using it will resolve</t>
  </si>
  <si>
    <t>Resolder the dry joint, you only need to work on the dry joint if its immediately next to your tag</t>
  </si>
  <si>
    <t>Please indicate whether or not you are trained and skilled to work on our range of Fibre to Cab products.</t>
  </si>
  <si>
    <t>Please indicate whether or not you are trained, skilled (and have) an IPhone.</t>
  </si>
  <si>
    <t>Please indicate whether or not you are trained, skilled and accredited (hold a valid accreditation card) to work on our Frames (H1 MDF, H4 HDF).</t>
  </si>
  <si>
    <t>Expert:  You will have full knowledge of all our products required by a CAL / OMI engineer and have an expert knowledge of all process, procedures and quality involved in running overhead cables, working in cabinets, working in customers premises and have an expert knowledge of our TRC policies.</t>
  </si>
  <si>
    <t>Expert: You will have an expert knowledge of all our processes and procedures including quality for working in and around our underground network.  A complete understanding of the different colour codes and cable we use including PET and concentric cables.</t>
  </si>
  <si>
    <t>Expert:  You will have an expert knowledge of all procesess and procedures we follow when undertaking work in and around our MDF's</t>
  </si>
  <si>
    <t>This table shows you how you have done against each of the assessments and what each of the ratings mean to you.</t>
  </si>
  <si>
    <t>Your Overall Score is made up of questions in 4 areas and broken back as follows</t>
  </si>
  <si>
    <t>Your Overall Score is made up of questions in 3 areas and broken back as follows</t>
  </si>
  <si>
    <t>Remove the jumper wire from the bed completely and dispose of wire in provided bags, only if the jumper is tight because the frame is congested and you cannot pull it free then you can cut the ends and leave the jumper.</t>
  </si>
  <si>
    <t>Manual FastTest / Fast test via myjobs</t>
  </si>
  <si>
    <t>Re-check your own work and then Re-test your circuit, if fault out to field close task</t>
  </si>
  <si>
    <t>DTSW</t>
  </si>
  <si>
    <t>Renew the Dropwire to a BT85 within 2 metres of the point of entry, and rewire it with an internal wire to the NTE then reconnect to fault free extension wiring</t>
  </si>
  <si>
    <t>DP, Newton Road, Glenrothes</t>
  </si>
  <si>
    <t>DP24 Outside number 72 Newton Road, Glenrothes, KY7 6HX</t>
  </si>
  <si>
    <t>DP24 Newton Road, Glenrothes, KY7 6HX</t>
  </si>
  <si>
    <t>Run the extension wiring as requested, its within the agreed TRC banding and raise a TRC</t>
  </si>
  <si>
    <t>Run the extension wiring as requested but do not raise a TRC</t>
  </si>
  <si>
    <t>When permission granted, how can you update the main software on your Iphone when it becomes dated?</t>
  </si>
  <si>
    <t>What function / option would you use to complete a 'continuous test' of AC &amp; DC voltage, and resistance?</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</si>
</sst>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b/>
      <sz val="26"/>
      <color theme="1"/>
      <name val="Calibri"/>
      <family val="2"/>
      <scheme val="minor"/>
    </font>
    <font>
      <b/>
      <sz val="14"/>
      <color theme="1"/>
      <name val="Calibri"/>
      <family val="2"/>
      <scheme val="minor"/>
    </font>
    <font>
      <b/>
      <sz val="12"/>
      <color theme="1"/>
      <name val="Calibri"/>
      <family val="2"/>
      <scheme val="minor"/>
    </font>
    <font>
      <sz val="14"/>
      <color theme="1"/>
      <name val="Calibri"/>
      <family val="2"/>
      <scheme val="minor"/>
    </font>
    <font>
      <u/>
      <sz val="11"/>
      <color theme="10"/>
      <name val="Calibri"/>
      <family val="2"/>
      <scheme val="minor"/>
    </font>
    <font>
      <b/>
      <u/>
      <sz val="11"/>
      <color theme="10"/>
      <name val="Calibri"/>
      <family val="2"/>
      <scheme val="minor"/>
    </font>
    <font>
      <sz val="11"/>
      <color rgb="FFFF0000"/>
      <name val="Calibri"/>
      <family val="2"/>
      <scheme val="minor"/>
    </font>
    <font>
      <sz val="11"/>
      <color theme="0"/>
      <name val="Calibri"/>
      <family val="2"/>
      <scheme val="minor"/>
    </font>
    <font>
      <sz val="11"/>
      <name val="Calibri"/>
      <family val="2"/>
      <scheme val="minor"/>
    </font>
    <font>
      <b/>
      <u/>
      <sz val="36"/>
      <color theme="1"/>
      <name val="Calibri"/>
      <family val="2"/>
      <scheme val="minor"/>
    </font>
    <font>
      <sz val="11"/>
      <color theme="1"/>
      <name val="Calibri"/>
      <family val="2"/>
      <scheme val="minor"/>
    </font>
    <font>
      <sz val="11"/>
      <color rgb="FF9900CC"/>
      <name val="Calibri"/>
      <family val="2"/>
      <scheme val="minor"/>
    </font>
    <font>
      <sz val="24"/>
      <color theme="1"/>
      <name val="Calibri"/>
      <family val="2"/>
      <scheme val="minor"/>
    </font>
    <font>
      <sz val="11"/>
      <color theme="1"/>
      <name val="Calibri"/>
      <family val="2"/>
    </font>
    <font>
      <sz val="11"/>
      <name val="Calibri"/>
      <family val="2"/>
    </font>
    <font>
      <sz val="36"/>
      <color theme="1"/>
      <name val="Calibri"/>
      <family val="2"/>
      <scheme val="minor"/>
    </font>
    <font>
      <b/>
      <sz val="48"/>
      <color theme="7" tint="-0.249977111117893"/>
      <name val="Calibri"/>
      <family val="2"/>
      <scheme val="minor"/>
    </font>
    <font>
      <u/>
      <sz val="24"/>
      <color theme="1"/>
      <name val="Calibri"/>
      <family val="2"/>
      <scheme val="minor"/>
    </font>
  </fonts>
  <fills count="25">
    <fill>
      <patternFill patternType="none"/>
    </fill>
    <fill>
      <patternFill patternType="gray125"/>
    </fill>
    <fill>
      <patternFill patternType="solid">
        <fgColor theme="7" tint="0.39997558519241921"/>
        <bgColor indexed="64"/>
      </patternFill>
    </fill>
    <fill>
      <patternFill patternType="solid">
        <fgColor theme="6" tint="0.39997558519241921"/>
        <bgColor indexed="64"/>
      </patternFill>
    </fill>
    <fill>
      <gradientFill degree="90">
        <stop position="0">
          <color theme="0" tint="-5.0965910824915313E-2"/>
        </stop>
        <stop position="0.5">
          <color rgb="FFFFFF00"/>
        </stop>
        <stop position="1">
          <color theme="0" tint="-5.0965910824915313E-2"/>
        </stop>
      </gradientFill>
    </fill>
    <fill>
      <patternFill patternType="solid">
        <fgColor theme="7"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C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rgb="FFE6F339"/>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79998168889431442"/>
        <bgColor indexed="64"/>
      </patternFill>
    </fill>
  </fills>
  <borders count="71">
    <border>
      <left/>
      <right/>
      <top/>
      <bottom/>
      <diagonal/>
    </border>
    <border>
      <left/>
      <right style="medium">
        <color indexed="64"/>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dashDotDot">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dashDot">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dashDot">
        <color indexed="64"/>
      </bottom>
      <diagonal/>
    </border>
    <border>
      <left style="thin">
        <color indexed="64"/>
      </left>
      <right/>
      <top style="medium">
        <color indexed="64"/>
      </top>
      <bottom/>
      <diagonal/>
    </border>
  </borders>
  <cellStyleXfs count="3">
    <xf numFmtId="0" fontId="0" fillId="0" borderId="0"/>
    <xf numFmtId="0" fontId="6" fillId="0" borderId="0" applyNumberFormat="0" applyFill="0" applyBorder="0" applyAlignment="0" applyProtection="0"/>
    <xf numFmtId="9" fontId="12" fillId="0" borderId="0" applyFont="0" applyFill="0" applyBorder="0" applyAlignment="0" applyProtection="0"/>
  </cellStyleXfs>
  <cellXfs count="290">
    <xf numFmtId="0" fontId="0" fillId="0" borderId="0" xfId="0"/>
    <xf numFmtId="0" fontId="0" fillId="6" borderId="0" xfId="0" applyFill="1"/>
    <xf numFmtId="0" fontId="0" fillId="6" borderId="0" xfId="0" applyFont="1" applyFill="1"/>
    <xf numFmtId="0" fontId="0" fillId="6" borderId="0" xfId="0" applyFill="1" applyBorder="1"/>
    <xf numFmtId="0" fontId="3" fillId="5" borderId="14" xfId="0" applyFont="1" applyFill="1" applyBorder="1" applyAlignment="1">
      <alignment horizontal="center" vertical="center" wrapText="1"/>
    </xf>
    <xf numFmtId="0" fontId="1" fillId="4" borderId="15" xfId="0" applyFont="1" applyFill="1" applyBorder="1" applyAlignment="1">
      <alignment horizontal="center" vertical="center"/>
    </xf>
    <xf numFmtId="0" fontId="3" fillId="8" borderId="14" xfId="0" applyFont="1" applyFill="1" applyBorder="1" applyAlignment="1">
      <alignment horizontal="center" vertical="center" wrapText="1"/>
    </xf>
    <xf numFmtId="0" fontId="4" fillId="8" borderId="14" xfId="0" applyFont="1" applyFill="1" applyBorder="1" applyAlignment="1">
      <alignment horizontal="center" vertical="center" wrapText="1"/>
    </xf>
    <xf numFmtId="0" fontId="0" fillId="6" borderId="12" xfId="0" applyFont="1" applyFill="1" applyBorder="1"/>
    <xf numFmtId="0" fontId="0" fillId="6" borderId="13" xfId="0" applyFont="1" applyFill="1" applyBorder="1"/>
    <xf numFmtId="0" fontId="0" fillId="6" borderId="9" xfId="0" applyFont="1" applyFill="1" applyBorder="1"/>
    <xf numFmtId="0" fontId="0" fillId="6" borderId="0" xfId="0" applyFont="1" applyFill="1" applyBorder="1"/>
    <xf numFmtId="0" fontId="0" fillId="6" borderId="8" xfId="0" applyFont="1" applyFill="1" applyBorder="1"/>
    <xf numFmtId="0" fontId="0" fillId="6" borderId="16" xfId="0" applyFont="1" applyFill="1" applyBorder="1"/>
    <xf numFmtId="0" fontId="0" fillId="6" borderId="17" xfId="0" applyFont="1" applyFill="1" applyBorder="1"/>
    <xf numFmtId="0" fontId="0" fillId="6" borderId="1" xfId="0" applyFont="1" applyFill="1" applyBorder="1"/>
    <xf numFmtId="0" fontId="0" fillId="6" borderId="11" xfId="0" applyFont="1" applyFill="1" applyBorder="1"/>
    <xf numFmtId="0" fontId="0" fillId="6" borderId="2" xfId="0" applyFont="1" applyFill="1" applyBorder="1"/>
    <xf numFmtId="0" fontId="0" fillId="6" borderId="7" xfId="0" applyFont="1" applyFill="1" applyBorder="1"/>
    <xf numFmtId="0" fontId="1" fillId="4" borderId="15" xfId="0" applyFont="1" applyFill="1" applyBorder="1" applyAlignment="1" applyProtection="1">
      <alignment horizontal="center" vertical="center"/>
      <protection locked="0"/>
    </xf>
    <xf numFmtId="0" fontId="0" fillId="6" borderId="0" xfId="0" applyFill="1" applyBorder="1" applyAlignment="1">
      <alignment horizontal="left"/>
    </xf>
    <xf numFmtId="0" fontId="0" fillId="17" borderId="0" xfId="0" applyFill="1" applyProtection="1"/>
    <xf numFmtId="0" fontId="0" fillId="12" borderId="10" xfId="0" applyFill="1" applyBorder="1" applyProtection="1"/>
    <xf numFmtId="0" fontId="0" fillId="12" borderId="4" xfId="0" applyFill="1" applyBorder="1" applyProtection="1"/>
    <xf numFmtId="0" fontId="0" fillId="12" borderId="5" xfId="0" applyFill="1" applyBorder="1" applyProtection="1"/>
    <xf numFmtId="0" fontId="0" fillId="7" borderId="0" xfId="0" applyFill="1" applyProtection="1"/>
    <xf numFmtId="0" fontId="0" fillId="11" borderId="3" xfId="0" applyFill="1" applyBorder="1" applyProtection="1"/>
    <xf numFmtId="0" fontId="1" fillId="18" borderId="3" xfId="0" applyFont="1" applyFill="1" applyBorder="1" applyAlignment="1" applyProtection="1">
      <alignment horizontal="center"/>
    </xf>
    <xf numFmtId="0" fontId="1" fillId="7" borderId="0" xfId="0" applyFont="1" applyFill="1" applyProtection="1"/>
    <xf numFmtId="0" fontId="0" fillId="7" borderId="3" xfId="0" applyFill="1" applyBorder="1" applyAlignment="1" applyProtection="1">
      <alignment horizontal="center"/>
    </xf>
    <xf numFmtId="0" fontId="0" fillId="17" borderId="0" xfId="0" applyFill="1" applyAlignment="1" applyProtection="1">
      <alignment wrapText="1"/>
    </xf>
    <xf numFmtId="0" fontId="3" fillId="19" borderId="5" xfId="0" applyFont="1" applyFill="1" applyBorder="1" applyAlignment="1" applyProtection="1">
      <alignment horizontal="center" wrapText="1"/>
    </xf>
    <xf numFmtId="0" fontId="3" fillId="19" borderId="21" xfId="0" applyFont="1" applyFill="1" applyBorder="1" applyAlignment="1" applyProtection="1">
      <alignment horizontal="center" wrapText="1"/>
    </xf>
    <xf numFmtId="0" fontId="3" fillId="19" borderId="22" xfId="0" applyFont="1" applyFill="1" applyBorder="1" applyAlignment="1" applyProtection="1">
      <alignment horizontal="center" wrapText="1"/>
    </xf>
    <xf numFmtId="0" fontId="0" fillId="9" borderId="26" xfId="0" applyFill="1" applyBorder="1" applyAlignment="1" applyProtection="1">
      <alignment horizontal="center" vertical="center" wrapText="1"/>
      <protection locked="0"/>
    </xf>
    <xf numFmtId="14" fontId="0" fillId="9" borderId="26" xfId="0" applyNumberFormat="1" applyFill="1" applyBorder="1" applyAlignment="1" applyProtection="1">
      <alignment horizontal="center" vertical="center" wrapText="1"/>
      <protection locked="0"/>
    </xf>
    <xf numFmtId="0" fontId="0" fillId="9" borderId="33" xfId="0" applyFill="1" applyBorder="1" applyAlignment="1" applyProtection="1">
      <alignment horizontal="center" vertical="center" wrapText="1"/>
      <protection locked="0"/>
    </xf>
    <xf numFmtId="0" fontId="0" fillId="17" borderId="0" xfId="0" applyFill="1" applyAlignment="1" applyProtection="1">
      <alignment horizontal="center" vertical="center" wrapText="1"/>
    </xf>
    <xf numFmtId="0" fontId="7" fillId="6" borderId="0" xfId="1" applyFont="1" applyFill="1" applyBorder="1" applyAlignment="1" applyProtection="1">
      <protection locked="0"/>
    </xf>
    <xf numFmtId="0" fontId="1" fillId="4" borderId="55" xfId="0" applyFont="1" applyFill="1" applyBorder="1" applyAlignment="1" applyProtection="1">
      <alignment horizontal="center" vertical="center"/>
      <protection locked="0"/>
    </xf>
    <xf numFmtId="0" fontId="3" fillId="8" borderId="54" xfId="0" applyFont="1" applyFill="1" applyBorder="1" applyAlignment="1">
      <alignment horizontal="center" vertical="center" wrapText="1"/>
    </xf>
    <xf numFmtId="0" fontId="3" fillId="8" borderId="56" xfId="0" applyFont="1" applyFill="1" applyBorder="1" applyAlignment="1">
      <alignment horizontal="center" vertical="center" wrapText="1"/>
    </xf>
    <xf numFmtId="0" fontId="3" fillId="5" borderId="56" xfId="0" applyFont="1" applyFill="1" applyBorder="1" applyAlignment="1">
      <alignment horizontal="center" vertical="center" wrapText="1"/>
    </xf>
    <xf numFmtId="0" fontId="0" fillId="7" borderId="5" xfId="0" applyFill="1" applyBorder="1" applyProtection="1"/>
    <xf numFmtId="0" fontId="0" fillId="0" borderId="0" xfId="0" applyAlignment="1" applyProtection="1">
      <alignment horizontal="center" vertical="center"/>
    </xf>
    <xf numFmtId="0" fontId="11" fillId="0" borderId="0" xfId="0" applyFont="1" applyAlignment="1" applyProtection="1">
      <alignment horizontal="left" vertical="center"/>
    </xf>
    <xf numFmtId="0" fontId="0" fillId="11" borderId="57"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11" borderId="55" xfId="0" applyFill="1" applyBorder="1" applyAlignment="1" applyProtection="1">
      <alignment horizontal="center" vertical="center"/>
    </xf>
    <xf numFmtId="0" fontId="0" fillId="7" borderId="0" xfId="0" applyFont="1" applyFill="1" applyProtection="1"/>
    <xf numFmtId="0" fontId="0" fillId="7" borderId="0" xfId="0" applyFill="1" applyBorder="1" applyProtection="1"/>
    <xf numFmtId="0" fontId="0" fillId="20" borderId="3" xfId="0" applyFill="1" applyBorder="1" applyProtection="1"/>
    <xf numFmtId="0" fontId="0" fillId="13" borderId="23" xfId="0" applyNumberFormat="1" applyFill="1" applyBorder="1" applyAlignment="1" applyProtection="1">
      <alignment horizontal="center"/>
    </xf>
    <xf numFmtId="0" fontId="0" fillId="13" borderId="24" xfId="0" applyNumberFormat="1" applyFill="1" applyBorder="1" applyAlignment="1" applyProtection="1">
      <alignment horizontal="center"/>
    </xf>
    <xf numFmtId="0" fontId="0" fillId="14" borderId="23" xfId="0" applyNumberFormat="1" applyFill="1" applyBorder="1" applyAlignment="1" applyProtection="1">
      <alignment horizontal="center"/>
    </xf>
    <xf numFmtId="0" fontId="0" fillId="14" borderId="24" xfId="0" applyNumberFormat="1" applyFill="1" applyBorder="1" applyAlignment="1" applyProtection="1">
      <alignment horizontal="center"/>
    </xf>
    <xf numFmtId="0" fontId="0" fillId="15" borderId="23" xfId="0" applyNumberFormat="1" applyFill="1" applyBorder="1" applyAlignment="1" applyProtection="1">
      <alignment horizontal="center"/>
    </xf>
    <xf numFmtId="0" fontId="0" fillId="15" borderId="24" xfId="0" applyNumberFormat="1" applyFill="1" applyBorder="1" applyAlignment="1" applyProtection="1">
      <alignment horizontal="center"/>
    </xf>
    <xf numFmtId="0" fontId="0" fillId="10" borderId="23" xfId="0" applyNumberFormat="1" applyFill="1" applyBorder="1" applyAlignment="1" applyProtection="1">
      <alignment horizontal="center"/>
    </xf>
    <xf numFmtId="0" fontId="0" fillId="10" borderId="24" xfId="0" applyNumberFormat="1" applyFill="1" applyBorder="1" applyAlignment="1" applyProtection="1">
      <alignment horizontal="center"/>
    </xf>
    <xf numFmtId="0" fontId="0" fillId="16" borderId="23" xfId="0" applyNumberFormat="1" applyFill="1" applyBorder="1" applyAlignment="1" applyProtection="1">
      <alignment horizontal="center"/>
    </xf>
    <xf numFmtId="0" fontId="0" fillId="16" borderId="24" xfId="0" applyNumberFormat="1" applyFill="1" applyBorder="1" applyAlignment="1" applyProtection="1">
      <alignment horizontal="center"/>
    </xf>
    <xf numFmtId="0" fontId="0" fillId="11" borderId="26" xfId="0" applyFill="1" applyBorder="1" applyProtection="1"/>
    <xf numFmtId="9" fontId="0" fillId="7" borderId="3" xfId="2" applyFont="1" applyFill="1" applyBorder="1" applyAlignment="1" applyProtection="1">
      <alignment horizontal="center"/>
    </xf>
    <xf numFmtId="0" fontId="0" fillId="11" borderId="55" xfId="0" applyFill="1" applyBorder="1" applyAlignment="1" applyProtection="1">
      <alignment horizontal="left" vertical="center" wrapText="1"/>
    </xf>
    <xf numFmtId="0" fontId="0" fillId="11" borderId="60" xfId="0" applyFill="1" applyBorder="1" applyAlignment="1" applyProtection="1">
      <alignment horizontal="center" vertical="center" wrapText="1"/>
    </xf>
    <xf numFmtId="0" fontId="14" fillId="11" borderId="66" xfId="0" applyFont="1" applyFill="1" applyBorder="1" applyAlignment="1" applyProtection="1">
      <alignment horizontal="center" vertical="center"/>
    </xf>
    <xf numFmtId="9" fontId="10" fillId="7" borderId="0" xfId="0" applyNumberFormat="1" applyFont="1" applyFill="1" applyProtection="1"/>
    <xf numFmtId="0" fontId="0" fillId="0" borderId="0" xfId="0" applyFill="1" applyBorder="1" applyAlignment="1" applyProtection="1">
      <alignment horizontal="center"/>
    </xf>
    <xf numFmtId="0" fontId="0" fillId="0" borderId="0" xfId="0" applyBorder="1" applyAlignment="1" applyProtection="1">
      <alignment vertical="center"/>
    </xf>
    <xf numFmtId="0" fontId="10" fillId="0" borderId="0" xfId="0" applyFont="1" applyBorder="1" applyAlignment="1" applyProtection="1">
      <alignment horizontal="left" vertical="center" wrapText="1"/>
    </xf>
    <xf numFmtId="0" fontId="0" fillId="0" borderId="13" xfId="0" applyBorder="1" applyAlignment="1" applyProtection="1">
      <alignment horizontal="left" vertical="center" wrapText="1"/>
    </xf>
    <xf numFmtId="0" fontId="1" fillId="0" borderId="0" xfId="0" applyFont="1" applyBorder="1" applyAlignment="1" applyProtection="1">
      <alignment horizontal="center" vertical="center"/>
    </xf>
    <xf numFmtId="0" fontId="1" fillId="0" borderId="13" xfId="0" applyFont="1" applyBorder="1" applyAlignment="1" applyProtection="1">
      <alignment horizontal="center" vertical="center" wrapText="1"/>
    </xf>
    <xf numFmtId="0" fontId="1" fillId="0" borderId="0" xfId="0" applyFont="1" applyBorder="1" applyAlignment="1" applyProtection="1">
      <alignment horizontal="center" vertical="center" wrapText="1"/>
    </xf>
    <xf numFmtId="0" fontId="1" fillId="0" borderId="13" xfId="0" applyFont="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vertical="center" wrapText="1"/>
    </xf>
    <xf numFmtId="0" fontId="0" fillId="11" borderId="40" xfId="0" applyFill="1" applyBorder="1" applyAlignment="1" applyProtection="1">
      <alignment vertical="center"/>
    </xf>
    <xf numFmtId="0" fontId="0" fillId="11" borderId="30" xfId="0" applyFill="1" applyBorder="1" applyAlignment="1" applyProtection="1">
      <alignment vertical="center"/>
    </xf>
    <xf numFmtId="0" fontId="0" fillId="11" borderId="30" xfId="0" applyFill="1" applyBorder="1" applyAlignment="1" applyProtection="1">
      <alignment horizontal="left" vertical="center"/>
    </xf>
    <xf numFmtId="0" fontId="1" fillId="0" borderId="34" xfId="0" applyFont="1" applyFill="1" applyBorder="1" applyAlignment="1" applyProtection="1">
      <alignment horizontal="center" vertical="center"/>
    </xf>
    <xf numFmtId="0" fontId="1" fillId="0" borderId="36" xfId="0" applyFont="1" applyFill="1" applyBorder="1" applyAlignment="1" applyProtection="1">
      <alignment horizontal="center" vertical="center"/>
    </xf>
    <xf numFmtId="0" fontId="9" fillId="0" borderId="0" xfId="0" applyFont="1" applyAlignment="1" applyProtection="1">
      <alignment vertical="center"/>
    </xf>
    <xf numFmtId="0" fontId="1" fillId="0" borderId="0" xfId="0" applyFont="1" applyAlignment="1" applyProtection="1">
      <alignment vertical="center"/>
      <protection locked="0"/>
    </xf>
    <xf numFmtId="0" fontId="0" fillId="11" borderId="58" xfId="0" applyFill="1" applyBorder="1" applyAlignment="1" applyProtection="1">
      <alignment vertical="center"/>
    </xf>
    <xf numFmtId="0" fontId="10" fillId="0" borderId="0" xfId="0" applyFont="1" applyBorder="1" applyAlignment="1" applyProtection="1">
      <alignment vertical="center"/>
    </xf>
    <xf numFmtId="0" fontId="0" fillId="0" borderId="0" xfId="0" applyFill="1" applyBorder="1" applyAlignment="1" applyProtection="1">
      <alignment vertical="center"/>
    </xf>
    <xf numFmtId="0" fontId="0" fillId="0" borderId="13" xfId="0" applyBorder="1" applyAlignment="1" applyProtection="1">
      <alignment vertical="center"/>
    </xf>
    <xf numFmtId="0" fontId="0" fillId="11" borderId="58" xfId="0" applyFill="1" applyBorder="1" applyAlignment="1" applyProtection="1">
      <alignment horizontal="left" vertical="center"/>
    </xf>
    <xf numFmtId="0" fontId="10" fillId="0" borderId="35" xfId="0" applyFont="1" applyBorder="1" applyAlignment="1" applyProtection="1">
      <alignment vertical="center"/>
    </xf>
    <xf numFmtId="0" fontId="0" fillId="0" borderId="37" xfId="0" applyBorder="1" applyAlignment="1" applyProtection="1">
      <alignment vertical="center"/>
    </xf>
    <xf numFmtId="0" fontId="0" fillId="0" borderId="0" xfId="0" applyAlignment="1" applyProtection="1">
      <alignment horizontal="left" vertical="center" wrapText="1"/>
    </xf>
    <xf numFmtId="0" fontId="10" fillId="0" borderId="0" xfId="0" applyFont="1" applyBorder="1" applyAlignment="1" applyProtection="1">
      <alignment vertical="center" wrapText="1"/>
    </xf>
    <xf numFmtId="0" fontId="8" fillId="0" borderId="0" xfId="0" applyFont="1" applyBorder="1" applyAlignment="1" applyProtection="1">
      <alignment vertical="center"/>
    </xf>
    <xf numFmtId="0" fontId="0" fillId="0" borderId="0" xfId="0" applyBorder="1" applyAlignment="1" applyProtection="1">
      <alignment vertical="center" wrapText="1"/>
    </xf>
    <xf numFmtId="0" fontId="10" fillId="0" borderId="0" xfId="0" applyFont="1" applyBorder="1" applyAlignment="1" applyProtection="1">
      <alignment horizontal="left" vertical="center"/>
    </xf>
    <xf numFmtId="0" fontId="0" fillId="0" borderId="37" xfId="0" applyBorder="1" applyAlignment="1" applyProtection="1">
      <alignment horizontal="left" vertical="center"/>
    </xf>
    <xf numFmtId="0" fontId="1" fillId="0" borderId="0" xfId="0" applyFont="1" applyAlignment="1" applyProtection="1">
      <alignment vertical="center"/>
    </xf>
    <xf numFmtId="0" fontId="1" fillId="0" borderId="0" xfId="0" applyFont="1" applyAlignment="1" applyProtection="1">
      <alignment vertical="center" wrapText="1"/>
    </xf>
    <xf numFmtId="0" fontId="0" fillId="11" borderId="40" xfId="0" applyFont="1" applyFill="1" applyBorder="1" applyAlignment="1" applyProtection="1">
      <alignment vertical="center"/>
    </xf>
    <xf numFmtId="0" fontId="0" fillId="11" borderId="30" xfId="0" applyFont="1" applyFill="1" applyBorder="1" applyAlignment="1" applyProtection="1">
      <alignment vertical="center"/>
    </xf>
    <xf numFmtId="0" fontId="0" fillId="11" borderId="30" xfId="0" applyFont="1" applyFill="1" applyBorder="1" applyAlignment="1" applyProtection="1">
      <alignment horizontal="left" vertical="center"/>
    </xf>
    <xf numFmtId="0" fontId="0" fillId="0" borderId="13" xfId="0" applyBorder="1" applyAlignment="1" applyProtection="1">
      <alignment vertical="center" wrapText="1"/>
    </xf>
    <xf numFmtId="0" fontId="0" fillId="0" borderId="0" xfId="0" applyBorder="1" applyAlignment="1" applyProtection="1">
      <alignment horizontal="left" vertical="center" wrapText="1"/>
    </xf>
    <xf numFmtId="0" fontId="0" fillId="0" borderId="37" xfId="0" applyBorder="1" applyAlignment="1" applyProtection="1">
      <alignment vertical="center" wrapText="1"/>
    </xf>
    <xf numFmtId="0" fontId="10" fillId="0" borderId="13" xfId="0" applyFont="1" applyBorder="1" applyAlignment="1" applyProtection="1">
      <alignment vertical="center"/>
    </xf>
    <xf numFmtId="0" fontId="10" fillId="11" borderId="58" xfId="0" applyFont="1" applyFill="1" applyBorder="1" applyAlignment="1" applyProtection="1">
      <alignment vertical="center"/>
    </xf>
    <xf numFmtId="0" fontId="10" fillId="0" borderId="35" xfId="0" applyFont="1" applyBorder="1" applyAlignment="1" applyProtection="1">
      <alignment horizontal="left" vertical="center" wrapText="1"/>
    </xf>
    <xf numFmtId="0" fontId="0" fillId="7" borderId="3" xfId="0" applyFill="1" applyBorder="1" applyAlignment="1" applyProtection="1">
      <alignment horizontal="center" vertical="center"/>
    </xf>
    <xf numFmtId="9" fontId="0" fillId="7" borderId="3" xfId="2" applyFont="1" applyFill="1" applyBorder="1" applyAlignment="1" applyProtection="1">
      <alignment horizontal="center" vertical="center"/>
    </xf>
    <xf numFmtId="0" fontId="0" fillId="7" borderId="4" xfId="0" applyFill="1" applyBorder="1" applyProtection="1"/>
    <xf numFmtId="9" fontId="0" fillId="7" borderId="20" xfId="2" applyFont="1" applyFill="1" applyBorder="1" applyAlignment="1" applyProtection="1">
      <alignment horizontal="center" vertical="center"/>
    </xf>
    <xf numFmtId="9" fontId="0" fillId="7" borderId="21" xfId="2" applyFont="1" applyFill="1" applyBorder="1" applyAlignment="1" applyProtection="1">
      <alignment horizontal="center" vertical="center"/>
    </xf>
    <xf numFmtId="9" fontId="0" fillId="7" borderId="22" xfId="2" applyFont="1" applyFill="1" applyBorder="1" applyAlignment="1" applyProtection="1">
      <alignment horizontal="center" vertical="center"/>
    </xf>
    <xf numFmtId="0" fontId="0" fillId="7" borderId="67" xfId="0" applyFill="1" applyBorder="1" applyProtection="1"/>
    <xf numFmtId="0" fontId="0" fillId="7" borderId="25" xfId="0" applyFill="1" applyBorder="1" applyAlignment="1" applyProtection="1">
      <alignment horizontal="center" vertical="center"/>
    </xf>
    <xf numFmtId="9" fontId="0" fillId="7" borderId="25" xfId="2" applyFont="1" applyFill="1" applyBorder="1" applyAlignment="1" applyProtection="1">
      <alignment horizontal="center" vertical="center"/>
    </xf>
    <xf numFmtId="9" fontId="0" fillId="7" borderId="68" xfId="2" applyFont="1" applyFill="1" applyBorder="1" applyAlignment="1" applyProtection="1">
      <alignment horizontal="center" vertical="center"/>
    </xf>
    <xf numFmtId="0" fontId="0" fillId="7" borderId="50" xfId="0" applyFill="1" applyBorder="1" applyProtection="1"/>
    <xf numFmtId="9" fontId="0" fillId="7" borderId="26" xfId="2" applyFont="1" applyFill="1" applyBorder="1" applyAlignment="1" applyProtection="1">
      <alignment horizontal="center" vertical="center"/>
    </xf>
    <xf numFmtId="9" fontId="0" fillId="7" borderId="33" xfId="2" applyFont="1" applyFill="1" applyBorder="1" applyAlignment="1" applyProtection="1">
      <alignment horizontal="center" vertical="center"/>
    </xf>
    <xf numFmtId="0" fontId="0" fillId="7" borderId="26" xfId="0" applyFill="1" applyBorder="1" applyAlignment="1" applyProtection="1">
      <alignment horizontal="center" vertical="center"/>
    </xf>
    <xf numFmtId="0" fontId="0" fillId="16" borderId="51" xfId="0" applyFill="1" applyBorder="1" applyProtection="1"/>
    <xf numFmtId="0" fontId="0" fillId="16" borderId="52" xfId="0" applyFill="1" applyBorder="1" applyProtection="1"/>
    <xf numFmtId="0" fontId="0" fillId="16" borderId="52" xfId="0" applyFill="1" applyBorder="1" applyAlignment="1" applyProtection="1">
      <alignment horizontal="center" vertical="center"/>
    </xf>
    <xf numFmtId="0" fontId="0" fillId="16" borderId="53" xfId="0" applyFill="1" applyBorder="1" applyAlignment="1" applyProtection="1">
      <alignment horizontal="center" vertical="center"/>
    </xf>
    <xf numFmtId="0" fontId="0" fillId="11" borderId="25" xfId="0" applyFill="1" applyBorder="1" applyProtection="1"/>
    <xf numFmtId="0" fontId="0" fillId="11" borderId="21" xfId="0" applyFill="1" applyBorder="1" applyProtection="1"/>
    <xf numFmtId="0" fontId="0" fillId="12" borderId="19" xfId="0" applyFill="1" applyBorder="1" applyAlignment="1" applyProtection="1">
      <alignment horizontal="center"/>
    </xf>
    <xf numFmtId="0" fontId="0" fillId="20" borderId="4" xfId="0" applyFill="1" applyBorder="1" applyProtection="1"/>
    <xf numFmtId="9" fontId="10" fillId="7" borderId="20" xfId="0" applyNumberFormat="1" applyFont="1" applyFill="1" applyBorder="1" applyAlignment="1" applyProtection="1">
      <alignment horizontal="center"/>
    </xf>
    <xf numFmtId="0" fontId="0" fillId="20" borderId="5" xfId="0" applyFill="1" applyBorder="1" applyProtection="1"/>
    <xf numFmtId="0" fontId="0" fillId="20" borderId="21" xfId="0" applyFill="1" applyBorder="1" applyProtection="1"/>
    <xf numFmtId="9" fontId="0" fillId="7" borderId="21" xfId="2" applyFont="1" applyFill="1" applyBorder="1" applyAlignment="1" applyProtection="1">
      <alignment horizontal="center"/>
    </xf>
    <xf numFmtId="9" fontId="10" fillId="7" borderId="22" xfId="0" applyNumberFormat="1" applyFont="1" applyFill="1" applyBorder="1" applyAlignment="1" applyProtection="1">
      <alignment horizontal="center"/>
    </xf>
    <xf numFmtId="0" fontId="0" fillId="12" borderId="18" xfId="0" applyFill="1" applyBorder="1" applyAlignment="1" applyProtection="1">
      <alignment horizontal="center"/>
    </xf>
    <xf numFmtId="0" fontId="0" fillId="7" borderId="3" xfId="0" applyFill="1" applyBorder="1" applyAlignment="1" applyProtection="1">
      <alignment horizontal="center"/>
    </xf>
    <xf numFmtId="0" fontId="0" fillId="7" borderId="21" xfId="0" applyFill="1" applyBorder="1" applyAlignment="1" applyProtection="1">
      <alignment horizontal="center"/>
    </xf>
    <xf numFmtId="0" fontId="9" fillId="0" borderId="0" xfId="0" applyFont="1" applyFill="1" applyAlignment="1" applyProtection="1">
      <alignment vertical="center"/>
    </xf>
    <xf numFmtId="0" fontId="0" fillId="7" borderId="26" xfId="0" applyFill="1" applyBorder="1" applyAlignment="1" applyProtection="1">
      <alignment horizontal="center"/>
    </xf>
    <xf numFmtId="0" fontId="1" fillId="4" borderId="12" xfId="0" applyFont="1" applyFill="1" applyBorder="1" applyAlignment="1" applyProtection="1">
      <alignment horizontal="center" vertical="center"/>
      <protection locked="0"/>
    </xf>
    <xf numFmtId="0" fontId="3" fillId="5" borderId="69" xfId="0" applyFont="1" applyFill="1" applyBorder="1" applyAlignment="1">
      <alignment horizontal="center" vertical="center" wrapText="1"/>
    </xf>
    <xf numFmtId="0" fontId="17" fillId="7" borderId="0" xfId="0" applyFont="1" applyFill="1" applyProtection="1"/>
    <xf numFmtId="0" fontId="18" fillId="0" borderId="0" xfId="0" applyFont="1" applyFill="1" applyProtection="1"/>
    <xf numFmtId="0" fontId="5" fillId="7" borderId="0" xfId="0" applyFont="1" applyFill="1" applyProtection="1"/>
    <xf numFmtId="0" fontId="19" fillId="7" borderId="0" xfId="0" applyFont="1" applyFill="1" applyProtection="1"/>
    <xf numFmtId="0" fontId="0" fillId="24" borderId="0" xfId="0" applyFill="1" applyProtection="1"/>
    <xf numFmtId="0" fontId="1" fillId="24" borderId="0" xfId="0" applyFont="1" applyFill="1" applyProtection="1"/>
    <xf numFmtId="0" fontId="0" fillId="21" borderId="3" xfId="0" applyFill="1" applyBorder="1" applyProtection="1"/>
    <xf numFmtId="0" fontId="0" fillId="14" borderId="11" xfId="0" applyFill="1" applyBorder="1" applyAlignment="1" applyProtection="1">
      <alignment horizontal="center" vertical="center" wrapText="1"/>
    </xf>
    <xf numFmtId="0" fontId="0" fillId="14" borderId="2" xfId="0" applyFill="1" applyBorder="1" applyAlignment="1" applyProtection="1">
      <alignment horizontal="center" vertical="center" wrapText="1"/>
    </xf>
    <xf numFmtId="0" fontId="0" fillId="14" borderId="7" xfId="0" applyFill="1" applyBorder="1" applyAlignment="1" applyProtection="1">
      <alignment horizontal="center" vertical="center" wrapText="1"/>
    </xf>
    <xf numFmtId="0" fontId="0" fillId="14" borderId="6" xfId="0" applyFill="1" applyBorder="1" applyAlignment="1" applyProtection="1">
      <alignment horizontal="center" vertical="center" wrapText="1"/>
    </xf>
    <xf numFmtId="0" fontId="0" fillId="14" borderId="0" xfId="0" applyFill="1" applyBorder="1" applyAlignment="1" applyProtection="1">
      <alignment horizontal="center" vertical="center" wrapText="1"/>
    </xf>
    <xf numFmtId="0" fontId="0" fillId="14" borderId="8" xfId="0" applyFill="1" applyBorder="1" applyAlignment="1" applyProtection="1">
      <alignment horizontal="center" vertical="center" wrapText="1"/>
    </xf>
    <xf numFmtId="0" fontId="0" fillId="14" borderId="12" xfId="0" applyFill="1" applyBorder="1" applyAlignment="1" applyProtection="1">
      <alignment horizontal="center" vertical="center" wrapText="1"/>
    </xf>
    <xf numFmtId="0" fontId="0" fillId="14" borderId="13" xfId="0" applyFill="1" applyBorder="1" applyAlignment="1" applyProtection="1">
      <alignment horizontal="center" vertical="center" wrapText="1"/>
    </xf>
    <xf numFmtId="0" fontId="0" fillId="14" borderId="9" xfId="0" applyFill="1" applyBorder="1" applyAlignment="1" applyProtection="1">
      <alignment horizontal="center" vertical="center" wrapText="1"/>
    </xf>
    <xf numFmtId="0" fontId="0" fillId="21" borderId="23" xfId="0" applyFill="1" applyBorder="1" applyAlignment="1" applyProtection="1">
      <alignment horizontal="left"/>
      <protection locked="0"/>
    </xf>
    <xf numFmtId="0" fontId="0" fillId="21" borderId="32" xfId="0" applyFill="1" applyBorder="1" applyAlignment="1" applyProtection="1">
      <alignment horizontal="left"/>
      <protection locked="0"/>
    </xf>
    <xf numFmtId="0" fontId="0" fillId="21" borderId="24" xfId="0" applyFill="1" applyBorder="1" applyAlignment="1" applyProtection="1">
      <alignment horizontal="left"/>
      <protection locked="0"/>
    </xf>
    <xf numFmtId="0" fontId="0" fillId="6" borderId="70" xfId="0" applyFill="1" applyBorder="1" applyAlignment="1">
      <alignment horizontal="center" vertical="center" wrapText="1"/>
    </xf>
    <xf numFmtId="0" fontId="0" fillId="6" borderId="7" xfId="0" applyFill="1" applyBorder="1" applyAlignment="1">
      <alignment horizontal="center" vertical="center" wrapText="1"/>
    </xf>
    <xf numFmtId="0" fontId="0" fillId="6" borderId="4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8" xfId="0" applyFill="1" applyBorder="1" applyAlignment="1">
      <alignment horizontal="center" vertical="center" wrapText="1"/>
    </xf>
    <xf numFmtId="0" fontId="0" fillId="6" borderId="19" xfId="0" applyFill="1" applyBorder="1" applyAlignment="1">
      <alignment horizontal="center" vertical="center" wrapText="1"/>
    </xf>
    <xf numFmtId="0" fontId="0" fillId="6" borderId="21" xfId="0" applyFill="1" applyBorder="1" applyAlignment="1">
      <alignment horizontal="center" vertical="center" wrapText="1"/>
    </xf>
    <xf numFmtId="0" fontId="0" fillId="6" borderId="22" xfId="0" applyFill="1" applyBorder="1" applyAlignment="1">
      <alignment horizontal="center" vertical="center" wrapText="1"/>
    </xf>
    <xf numFmtId="0" fontId="2" fillId="2" borderId="51" xfId="0" applyFont="1" applyFill="1" applyBorder="1" applyAlignment="1">
      <alignment horizontal="center" vertical="center" wrapText="1"/>
    </xf>
    <xf numFmtId="0" fontId="2" fillId="2" borderId="52" xfId="0" applyFont="1" applyFill="1" applyBorder="1" applyAlignment="1">
      <alignment horizontal="center" vertical="center" wrapText="1"/>
    </xf>
    <xf numFmtId="0" fontId="2" fillId="2" borderId="53" xfId="0" applyFont="1" applyFill="1" applyBorder="1" applyAlignment="1">
      <alignment horizontal="center" vertical="center" wrapText="1"/>
    </xf>
    <xf numFmtId="0" fontId="1" fillId="21" borderId="11" xfId="0" applyFont="1" applyFill="1" applyBorder="1" applyAlignment="1" applyProtection="1">
      <alignment horizontal="left" vertical="top" wrapText="1"/>
      <protection locked="0"/>
    </xf>
    <xf numFmtId="0" fontId="1" fillId="21" borderId="2" xfId="0" applyFont="1" applyFill="1" applyBorder="1" applyAlignment="1" applyProtection="1">
      <alignment horizontal="left" vertical="top" wrapText="1"/>
      <protection locked="0"/>
    </xf>
    <xf numFmtId="0" fontId="1" fillId="21" borderId="7" xfId="0" applyFont="1" applyFill="1" applyBorder="1" applyAlignment="1" applyProtection="1">
      <alignment horizontal="left" vertical="top" wrapText="1"/>
      <protection locked="0"/>
    </xf>
    <xf numFmtId="0" fontId="1" fillId="21" borderId="6" xfId="0" applyFont="1" applyFill="1" applyBorder="1" applyAlignment="1" applyProtection="1">
      <alignment horizontal="left" vertical="top" wrapText="1"/>
      <protection locked="0"/>
    </xf>
    <xf numFmtId="0" fontId="1" fillId="21" borderId="0" xfId="0" applyFont="1" applyFill="1" applyBorder="1" applyAlignment="1" applyProtection="1">
      <alignment horizontal="left" vertical="top" wrapText="1"/>
      <protection locked="0"/>
    </xf>
    <xf numFmtId="0" fontId="1" fillId="21" borderId="8" xfId="0" applyFont="1" applyFill="1" applyBorder="1" applyAlignment="1" applyProtection="1">
      <alignment horizontal="left" vertical="top" wrapText="1"/>
      <protection locked="0"/>
    </xf>
    <xf numFmtId="0" fontId="1" fillId="21" borderId="12" xfId="0" applyFont="1" applyFill="1" applyBorder="1" applyAlignment="1" applyProtection="1">
      <alignment horizontal="left" vertical="top" wrapText="1"/>
      <protection locked="0"/>
    </xf>
    <xf numFmtId="0" fontId="1" fillId="21" borderId="13" xfId="0" applyFont="1" applyFill="1" applyBorder="1" applyAlignment="1" applyProtection="1">
      <alignment horizontal="left" vertical="top" wrapText="1"/>
      <protection locked="0"/>
    </xf>
    <xf numFmtId="0" fontId="1" fillId="21" borderId="9" xfId="0" applyFont="1" applyFill="1" applyBorder="1" applyAlignment="1" applyProtection="1">
      <alignment horizontal="left" vertical="top" wrapText="1"/>
      <protection locked="0"/>
    </xf>
    <xf numFmtId="0" fontId="0" fillId="6" borderId="11" xfId="0" applyFont="1" applyFill="1" applyBorder="1" applyAlignment="1">
      <alignment horizontal="center"/>
    </xf>
    <xf numFmtId="0" fontId="0" fillId="6" borderId="2" xfId="0" applyFont="1" applyFill="1" applyBorder="1" applyAlignment="1">
      <alignment horizontal="center"/>
    </xf>
    <xf numFmtId="0" fontId="0" fillId="6" borderId="7" xfId="0" applyFont="1" applyFill="1" applyBorder="1" applyAlignment="1">
      <alignment horizontal="center"/>
    </xf>
    <xf numFmtId="0" fontId="0" fillId="6" borderId="16" xfId="0" applyFont="1" applyFill="1" applyBorder="1" applyAlignment="1">
      <alignment horizontal="center"/>
    </xf>
    <xf numFmtId="0" fontId="0" fillId="6" borderId="17" xfId="0" applyFont="1" applyFill="1" applyBorder="1" applyAlignment="1">
      <alignment horizontal="center"/>
    </xf>
    <xf numFmtId="0" fontId="2" fillId="3" borderId="51" xfId="0" applyFont="1" applyFill="1" applyBorder="1" applyAlignment="1">
      <alignment horizontal="center" vertical="center" wrapText="1"/>
    </xf>
    <xf numFmtId="0" fontId="2" fillId="3" borderId="52" xfId="0" applyFont="1" applyFill="1" applyBorder="1" applyAlignment="1">
      <alignment horizontal="center" vertical="center" wrapText="1"/>
    </xf>
    <xf numFmtId="0" fontId="2" fillId="3" borderId="53" xfId="0" applyFont="1" applyFill="1" applyBorder="1" applyAlignment="1">
      <alignment horizontal="center" vertical="center" wrapText="1"/>
    </xf>
    <xf numFmtId="0" fontId="0" fillId="6" borderId="1" xfId="0" applyFont="1" applyFill="1" applyBorder="1" applyAlignment="1">
      <alignment horizontal="center"/>
    </xf>
    <xf numFmtId="0" fontId="1" fillId="21" borderId="59" xfId="0" applyFont="1" applyFill="1" applyBorder="1" applyAlignment="1" applyProtection="1">
      <alignment horizontal="center" vertical="center"/>
      <protection locked="0"/>
    </xf>
    <xf numFmtId="0" fontId="1" fillId="21" borderId="61" xfId="0" applyFont="1" applyFill="1" applyBorder="1" applyAlignment="1" applyProtection="1">
      <alignment horizontal="center" vertical="center"/>
      <protection locked="0"/>
    </xf>
    <xf numFmtId="0" fontId="1" fillId="21" borderId="62" xfId="0" applyFont="1" applyFill="1" applyBorder="1" applyAlignment="1" applyProtection="1">
      <alignment horizontal="center" vertical="center"/>
      <protection locked="0"/>
    </xf>
    <xf numFmtId="0" fontId="0" fillId="0" borderId="63" xfId="0" applyBorder="1" applyAlignment="1" applyProtection="1">
      <alignment horizontal="center" vertical="center"/>
    </xf>
    <xf numFmtId="0" fontId="0" fillId="0" borderId="64" xfId="0" applyBorder="1" applyAlignment="1" applyProtection="1">
      <alignment horizontal="center" vertical="center"/>
    </xf>
    <xf numFmtId="0" fontId="0" fillId="0" borderId="65" xfId="0" applyBorder="1" applyAlignment="1" applyProtection="1">
      <alignment horizontal="center" vertical="center"/>
    </xf>
    <xf numFmtId="0" fontId="0" fillId="22" borderId="63" xfId="0" applyFill="1" applyBorder="1" applyAlignment="1" applyProtection="1">
      <alignment horizontal="center" vertical="center" wrapText="1"/>
    </xf>
    <xf numFmtId="0" fontId="0" fillId="22" borderId="64" xfId="0" applyFill="1" applyBorder="1" applyAlignment="1" applyProtection="1">
      <alignment horizontal="center" vertical="center" wrapText="1"/>
    </xf>
    <xf numFmtId="0" fontId="0" fillId="0" borderId="13" xfId="0" applyBorder="1" applyAlignment="1" applyProtection="1">
      <alignment horizontal="center" vertical="center"/>
    </xf>
    <xf numFmtId="0" fontId="0" fillId="11" borderId="30" xfId="0" applyFill="1" applyBorder="1" applyAlignment="1" applyProtection="1">
      <alignment horizontal="left" vertical="center" wrapText="1"/>
    </xf>
    <xf numFmtId="0" fontId="0" fillId="11" borderId="58" xfId="0" applyFill="1" applyBorder="1" applyAlignment="1" applyProtection="1">
      <alignment horizontal="left" vertical="center" wrapText="1"/>
    </xf>
    <xf numFmtId="0" fontId="3" fillId="14" borderId="16" xfId="0" applyFont="1" applyFill="1" applyBorder="1" applyAlignment="1" applyProtection="1">
      <alignment horizontal="center" vertical="center"/>
    </xf>
    <xf numFmtId="0" fontId="3" fillId="14" borderId="17" xfId="0" applyFont="1" applyFill="1" applyBorder="1" applyAlignment="1" applyProtection="1">
      <alignment horizontal="center" vertical="center"/>
    </xf>
    <xf numFmtId="0" fontId="3" fillId="14" borderId="1" xfId="0" applyFont="1" applyFill="1" applyBorder="1" applyAlignment="1" applyProtection="1">
      <alignment horizontal="center" vertical="center"/>
    </xf>
    <xf numFmtId="0" fontId="0" fillId="23" borderId="11" xfId="0" applyFill="1" applyBorder="1" applyAlignment="1" applyProtection="1">
      <alignment horizontal="center" vertical="center" wrapText="1"/>
    </xf>
    <xf numFmtId="0" fontId="0" fillId="23" borderId="2" xfId="0" applyFill="1" applyBorder="1" applyAlignment="1" applyProtection="1">
      <alignment horizontal="center" vertical="center" wrapText="1"/>
    </xf>
    <xf numFmtId="0" fontId="0" fillId="23" borderId="7" xfId="0" applyFill="1" applyBorder="1" applyAlignment="1" applyProtection="1">
      <alignment horizontal="center" vertical="center" wrapText="1"/>
    </xf>
    <xf numFmtId="0" fontId="0" fillId="23" borderId="6" xfId="0" applyFill="1" applyBorder="1" applyAlignment="1" applyProtection="1">
      <alignment horizontal="center" vertical="center" wrapText="1"/>
    </xf>
    <xf numFmtId="0" fontId="0" fillId="23" borderId="0" xfId="0" applyFill="1" applyBorder="1" applyAlignment="1" applyProtection="1">
      <alignment horizontal="center" vertical="center" wrapText="1"/>
    </xf>
    <xf numFmtId="0" fontId="0" fillId="23" borderId="8" xfId="0" applyFill="1" applyBorder="1" applyAlignment="1" applyProtection="1">
      <alignment horizontal="center" vertical="center" wrapText="1"/>
    </xf>
    <xf numFmtId="0" fontId="0" fillId="23" borderId="12" xfId="0" applyFill="1" applyBorder="1" applyAlignment="1" applyProtection="1">
      <alignment horizontal="center" vertical="center" wrapText="1"/>
    </xf>
    <xf numFmtId="0" fontId="0" fillId="23" borderId="13" xfId="0" applyFill="1" applyBorder="1" applyAlignment="1" applyProtection="1">
      <alignment horizontal="center" vertical="center" wrapText="1"/>
    </xf>
    <xf numFmtId="0" fontId="0" fillId="23" borderId="9" xfId="0" applyFill="1" applyBorder="1" applyAlignment="1" applyProtection="1">
      <alignment horizontal="center" vertical="center" wrapText="1"/>
    </xf>
    <xf numFmtId="0" fontId="0" fillId="22" borderId="65" xfId="0" applyFill="1" applyBorder="1" applyAlignment="1" applyProtection="1">
      <alignment horizontal="center" vertical="center" wrapText="1"/>
    </xf>
    <xf numFmtId="0" fontId="0" fillId="11" borderId="30" xfId="0" applyFont="1" applyFill="1" applyBorder="1" applyAlignment="1" applyProtection="1">
      <alignment horizontal="left" vertical="center" wrapText="1"/>
    </xf>
    <xf numFmtId="0" fontId="0" fillId="11" borderId="58" xfId="0" applyFont="1" applyFill="1" applyBorder="1" applyAlignment="1" applyProtection="1">
      <alignment horizontal="left" vertical="center" wrapText="1"/>
    </xf>
    <xf numFmtId="0" fontId="0" fillId="5" borderId="23" xfId="0" applyFill="1" applyBorder="1" applyAlignment="1" applyProtection="1">
      <alignment horizontal="left"/>
    </xf>
    <xf numFmtId="0" fontId="0" fillId="5" borderId="32" xfId="0" applyFill="1" applyBorder="1" applyAlignment="1" applyProtection="1">
      <alignment horizontal="left"/>
    </xf>
    <xf numFmtId="0" fontId="0" fillId="5" borderId="24" xfId="0" applyFill="1" applyBorder="1" applyAlignment="1" applyProtection="1">
      <alignment horizontal="left"/>
    </xf>
    <xf numFmtId="0" fontId="0" fillId="11" borderId="34" xfId="0" applyFill="1" applyBorder="1" applyAlignment="1" applyProtection="1">
      <alignment horizontal="center" vertical="center" wrapText="1"/>
    </xf>
    <xf numFmtId="0" fontId="0" fillId="11" borderId="38" xfId="0" applyFill="1" applyBorder="1" applyAlignment="1" applyProtection="1">
      <alignment horizontal="center" vertical="center" wrapText="1"/>
    </xf>
    <xf numFmtId="0" fontId="0" fillId="11" borderId="44" xfId="0" applyFill="1" applyBorder="1" applyAlignment="1" applyProtection="1">
      <alignment horizontal="center" vertical="center" wrapText="1"/>
    </xf>
    <xf numFmtId="0" fontId="0" fillId="11" borderId="36" xfId="0" applyFill="1" applyBorder="1" applyAlignment="1" applyProtection="1">
      <alignment horizontal="center" vertical="center" wrapText="1"/>
    </xf>
    <xf numFmtId="0" fontId="0" fillId="11" borderId="0" xfId="0" applyFill="1" applyBorder="1" applyAlignment="1" applyProtection="1">
      <alignment horizontal="center" vertical="center" wrapText="1"/>
    </xf>
    <xf numFmtId="0" fontId="0" fillId="11" borderId="8" xfId="0" applyFill="1" applyBorder="1" applyAlignment="1" applyProtection="1">
      <alignment horizontal="center" vertical="center" wrapText="1"/>
    </xf>
    <xf numFmtId="0" fontId="0" fillId="11" borderId="28" xfId="0" applyFill="1" applyBorder="1" applyAlignment="1" applyProtection="1">
      <alignment horizontal="center" vertical="center" wrapText="1"/>
    </xf>
    <xf numFmtId="0" fontId="0" fillId="11" borderId="39" xfId="0" applyFill="1" applyBorder="1" applyAlignment="1" applyProtection="1">
      <alignment horizontal="center" vertical="center" wrapText="1"/>
    </xf>
    <xf numFmtId="0" fontId="0" fillId="11" borderId="46" xfId="0" applyFill="1" applyBorder="1" applyAlignment="1" applyProtection="1">
      <alignment horizontal="center" vertical="center" wrapText="1"/>
    </xf>
    <xf numFmtId="0" fontId="0" fillId="11" borderId="43" xfId="0" applyFill="1" applyBorder="1" applyAlignment="1" applyProtection="1">
      <alignment horizontal="center" vertical="center"/>
    </xf>
    <xf numFmtId="0" fontId="0" fillId="11" borderId="35" xfId="0" applyFill="1" applyBorder="1" applyAlignment="1" applyProtection="1">
      <alignment horizontal="center" vertical="center"/>
    </xf>
    <xf numFmtId="0" fontId="0" fillId="11" borderId="6" xfId="0" applyFill="1" applyBorder="1" applyAlignment="1" applyProtection="1">
      <alignment horizontal="center" vertical="center"/>
    </xf>
    <xf numFmtId="0" fontId="0" fillId="11" borderId="37"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29" xfId="0" applyFill="1" applyBorder="1" applyAlignment="1" applyProtection="1">
      <alignment horizontal="center" vertical="center"/>
    </xf>
    <xf numFmtId="0" fontId="5" fillId="2" borderId="11"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xf>
    <xf numFmtId="0" fontId="5" fillId="2" borderId="7" xfId="0" applyFont="1" applyFill="1" applyBorder="1" applyAlignment="1" applyProtection="1">
      <alignment horizontal="center" vertical="center" wrapText="1"/>
    </xf>
    <xf numFmtId="0" fontId="5" fillId="2" borderId="45" xfId="0" applyFont="1" applyFill="1" applyBorder="1" applyAlignment="1" applyProtection="1">
      <alignment horizontal="center" vertical="center" wrapText="1"/>
    </xf>
    <xf numFmtId="0" fontId="5" fillId="2" borderId="39" xfId="0" applyFont="1" applyFill="1" applyBorder="1" applyAlignment="1" applyProtection="1">
      <alignment horizontal="center" vertical="center" wrapText="1"/>
    </xf>
    <xf numFmtId="0" fontId="5" fillId="2" borderId="46" xfId="0" applyFont="1" applyFill="1" applyBorder="1" applyAlignment="1" applyProtection="1">
      <alignment horizontal="center" vertical="center" wrapText="1"/>
    </xf>
    <xf numFmtId="0" fontId="1" fillId="18" borderId="3" xfId="0" applyFont="1" applyFill="1" applyBorder="1" applyAlignment="1" applyProtection="1">
      <alignment horizontal="left"/>
    </xf>
    <xf numFmtId="0" fontId="0" fillId="7" borderId="23" xfId="0" applyFill="1" applyBorder="1" applyAlignment="1" applyProtection="1">
      <alignment horizontal="left"/>
    </xf>
    <xf numFmtId="0" fontId="0" fillId="7" borderId="24" xfId="0" applyFill="1" applyBorder="1" applyAlignment="1" applyProtection="1">
      <alignment horizontal="left"/>
    </xf>
    <xf numFmtId="0" fontId="0" fillId="20" borderId="3" xfId="0" applyFill="1" applyBorder="1" applyAlignment="1" applyProtection="1">
      <alignment horizontal="left"/>
    </xf>
    <xf numFmtId="0" fontId="0" fillId="11" borderId="48" xfId="0" applyFill="1" applyBorder="1" applyAlignment="1" applyProtection="1">
      <alignment horizontal="center" vertical="center" wrapText="1"/>
    </xf>
    <xf numFmtId="0" fontId="0" fillId="11" borderId="13" xfId="0" applyFill="1" applyBorder="1" applyAlignment="1" applyProtection="1">
      <alignment horizontal="center" vertical="center" wrapText="1"/>
    </xf>
    <xf numFmtId="0" fontId="0" fillId="11" borderId="9" xfId="0" applyFill="1" applyBorder="1" applyAlignment="1" applyProtection="1">
      <alignment horizontal="center" vertical="center" wrapText="1"/>
    </xf>
    <xf numFmtId="0" fontId="0" fillId="11" borderId="12" xfId="0" applyFill="1" applyBorder="1" applyAlignment="1" applyProtection="1">
      <alignment horizontal="center" vertical="center"/>
    </xf>
    <xf numFmtId="0" fontId="0" fillId="11" borderId="47" xfId="0" applyFill="1" applyBorder="1" applyAlignment="1" applyProtection="1">
      <alignment horizontal="center" vertical="center"/>
    </xf>
    <xf numFmtId="0" fontId="2" fillId="2" borderId="11" xfId="0" applyFont="1" applyFill="1" applyBorder="1" applyAlignment="1">
      <alignment horizontal="left" vertical="center" wrapText="1" indent="10"/>
    </xf>
    <xf numFmtId="0" fontId="2" fillId="2" borderId="2" xfId="0" applyFont="1" applyFill="1" applyBorder="1" applyAlignment="1">
      <alignment horizontal="left" vertical="center" wrapText="1" indent="10"/>
    </xf>
    <xf numFmtId="0" fontId="2" fillId="2" borderId="7" xfId="0" applyFont="1" applyFill="1" applyBorder="1" applyAlignment="1">
      <alignment horizontal="left" vertical="center" wrapText="1" indent="10"/>
    </xf>
    <xf numFmtId="0" fontId="2" fillId="3" borderId="16" xfId="0" applyFont="1" applyFill="1" applyBorder="1" applyAlignment="1">
      <alignment horizontal="left" vertical="center" wrapText="1" indent="13"/>
    </xf>
    <xf numFmtId="0" fontId="2" fillId="3" borderId="17" xfId="0" applyFont="1" applyFill="1" applyBorder="1" applyAlignment="1">
      <alignment horizontal="left" vertical="center" wrapText="1" indent="13"/>
    </xf>
    <xf numFmtId="0" fontId="2" fillId="3" borderId="1" xfId="0" applyFont="1" applyFill="1" applyBorder="1" applyAlignment="1">
      <alignment horizontal="left" vertical="center" wrapText="1" indent="13"/>
    </xf>
    <xf numFmtId="0" fontId="0" fillId="6" borderId="0" xfId="0" applyFont="1" applyFill="1" applyBorder="1" applyAlignment="1">
      <alignment horizontal="center"/>
    </xf>
    <xf numFmtId="0" fontId="0" fillId="12" borderId="3" xfId="0" applyFill="1" applyBorder="1" applyAlignment="1" applyProtection="1">
      <alignment horizontal="center"/>
    </xf>
    <xf numFmtId="0" fontId="0" fillId="7" borderId="3" xfId="0" applyFill="1" applyBorder="1" applyAlignment="1" applyProtection="1">
      <alignment horizontal="center"/>
    </xf>
    <xf numFmtId="0" fontId="0" fillId="12" borderId="23" xfId="0" applyFill="1" applyBorder="1" applyAlignment="1" applyProtection="1">
      <alignment horizontal="center"/>
    </xf>
    <xf numFmtId="0" fontId="0" fillId="7" borderId="21" xfId="0" applyFill="1" applyBorder="1" applyAlignment="1" applyProtection="1">
      <alignment horizontal="center"/>
    </xf>
    <xf numFmtId="0" fontId="0" fillId="12" borderId="25" xfId="0" applyFill="1" applyBorder="1" applyAlignment="1" applyProtection="1">
      <alignment horizontal="center"/>
    </xf>
    <xf numFmtId="0" fontId="0" fillId="7" borderId="5" xfId="0" applyFill="1" applyBorder="1" applyAlignment="1" applyProtection="1">
      <alignment horizontal="center"/>
    </xf>
    <xf numFmtId="0" fontId="0" fillId="7" borderId="22" xfId="0" applyFill="1" applyBorder="1" applyAlignment="1" applyProtection="1">
      <alignment horizontal="center"/>
    </xf>
    <xf numFmtId="0" fontId="0" fillId="11" borderId="30" xfId="0" applyFill="1" applyBorder="1" applyAlignment="1" applyProtection="1">
      <alignment horizontal="left"/>
    </xf>
    <xf numFmtId="0" fontId="0" fillId="11" borderId="40" xfId="0" applyFill="1" applyBorder="1" applyAlignment="1" applyProtection="1">
      <alignment horizontal="left"/>
    </xf>
    <xf numFmtId="0" fontId="0" fillId="11" borderId="41" xfId="0" applyFill="1" applyBorder="1" applyAlignment="1" applyProtection="1">
      <alignment horizontal="left"/>
    </xf>
    <xf numFmtId="0" fontId="0" fillId="11" borderId="23" xfId="0" applyFill="1" applyBorder="1" applyAlignment="1" applyProtection="1">
      <alignment horizontal="left"/>
    </xf>
    <xf numFmtId="0" fontId="0" fillId="11" borderId="32" xfId="0" applyFill="1" applyBorder="1" applyAlignment="1" applyProtection="1">
      <alignment horizontal="left"/>
    </xf>
    <xf numFmtId="0" fontId="0" fillId="11" borderId="42" xfId="0" applyFill="1" applyBorder="1" applyAlignment="1" applyProtection="1">
      <alignment horizontal="left"/>
    </xf>
    <xf numFmtId="0" fontId="0" fillId="11" borderId="31" xfId="0" applyFill="1" applyBorder="1" applyAlignment="1" applyProtection="1">
      <alignment horizontal="left"/>
    </xf>
    <xf numFmtId="0" fontId="0" fillId="11" borderId="27" xfId="0" applyFill="1" applyBorder="1" applyAlignment="1" applyProtection="1">
      <alignment horizontal="left"/>
    </xf>
    <xf numFmtId="0" fontId="0" fillId="11" borderId="49" xfId="0" applyFill="1" applyBorder="1" applyAlignment="1" applyProtection="1">
      <alignment horizontal="left"/>
    </xf>
    <xf numFmtId="0" fontId="0" fillId="12" borderId="10" xfId="0" applyFill="1" applyBorder="1" applyAlignment="1" applyProtection="1">
      <alignment horizontal="center"/>
    </xf>
    <xf numFmtId="0" fontId="0" fillId="12" borderId="18" xfId="0" applyFill="1" applyBorder="1" applyAlignment="1" applyProtection="1">
      <alignment horizontal="center"/>
    </xf>
    <xf numFmtId="0" fontId="0" fillId="12" borderId="19" xfId="0" applyFill="1" applyBorder="1" applyAlignment="1" applyProtection="1">
      <alignment horizontal="center"/>
    </xf>
    <xf numFmtId="0" fontId="0" fillId="11" borderId="4" xfId="0" applyFill="1" applyBorder="1" applyAlignment="1" applyProtection="1">
      <alignment horizontal="center"/>
    </xf>
    <xf numFmtId="0" fontId="0" fillId="11" borderId="20" xfId="0" applyFill="1" applyBorder="1" applyAlignment="1" applyProtection="1">
      <alignment horizontal="center"/>
    </xf>
    <xf numFmtId="0" fontId="3" fillId="19" borderId="10" xfId="0" applyFont="1" applyFill="1" applyBorder="1" applyAlignment="1" applyProtection="1">
      <alignment horizontal="center"/>
    </xf>
    <xf numFmtId="0" fontId="3" fillId="19" borderId="18" xfId="0" applyFont="1" applyFill="1" applyBorder="1" applyAlignment="1" applyProtection="1">
      <alignment horizontal="center"/>
    </xf>
    <xf numFmtId="0" fontId="3" fillId="19" borderId="19" xfId="0" applyFont="1" applyFill="1" applyBorder="1" applyAlignment="1" applyProtection="1">
      <alignment horizontal="center"/>
    </xf>
    <xf numFmtId="0" fontId="5" fillId="22" borderId="4" xfId="0" applyFont="1" applyFill="1" applyBorder="1" applyAlignment="1" applyProtection="1">
      <alignment horizontal="center" vertical="center" wrapText="1"/>
      <protection locked="0"/>
    </xf>
    <xf numFmtId="0" fontId="5" fillId="22" borderId="3" xfId="0" applyFont="1" applyFill="1" applyBorder="1" applyAlignment="1" applyProtection="1">
      <alignment horizontal="center" vertical="center" wrapText="1"/>
      <protection locked="0"/>
    </xf>
    <xf numFmtId="0" fontId="5" fillId="22" borderId="20" xfId="0" applyFont="1" applyFill="1" applyBorder="1" applyAlignment="1" applyProtection="1">
      <alignment horizontal="center" vertical="center" wrapText="1"/>
      <protection locked="0"/>
    </xf>
    <xf numFmtId="0" fontId="0" fillId="12" borderId="18" xfId="0" applyFill="1" applyBorder="1" applyAlignment="1" applyProtection="1">
      <alignment horizontal="left"/>
    </xf>
    <xf numFmtId="0" fontId="0" fillId="12" borderId="19" xfId="0" applyFill="1" applyBorder="1" applyAlignment="1" applyProtection="1">
      <alignment horizontal="left"/>
    </xf>
    <xf numFmtId="0" fontId="0" fillId="12" borderId="3" xfId="0" applyFill="1" applyBorder="1" applyAlignment="1" applyProtection="1">
      <alignment horizontal="left"/>
    </xf>
    <xf numFmtId="0" fontId="0" fillId="12" borderId="20" xfId="0" applyFill="1" applyBorder="1" applyAlignment="1" applyProtection="1">
      <alignment horizontal="left"/>
    </xf>
    <xf numFmtId="0" fontId="0" fillId="12" borderId="21" xfId="0" applyFill="1" applyBorder="1" applyAlignment="1" applyProtection="1">
      <alignment horizontal="left"/>
    </xf>
    <xf numFmtId="0" fontId="0" fillId="12" borderId="22" xfId="0" applyFill="1" applyBorder="1" applyAlignment="1" applyProtection="1">
      <alignment horizontal="left"/>
    </xf>
  </cellXfs>
  <cellStyles count="3">
    <cellStyle name="Hyperlink" xfId="1" builtinId="8"/>
    <cellStyle name="Normal" xfId="0" builtinId="0"/>
    <cellStyle name="Percent" xfId="2" builtinId="5"/>
  </cellStyles>
  <dxfs count="80">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rgb="FF92D050"/>
        </patternFill>
      </fill>
    </dxf>
    <dxf>
      <fill>
        <patternFill>
          <bgColor theme="9" tint="0.79998168889431442"/>
        </patternFill>
      </fill>
    </dxf>
    <dxf>
      <fill>
        <patternFill>
          <bgColor theme="5" tint="0.79998168889431442"/>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E6F339"/>
      <color rgb="FFFF0000"/>
      <color rgb="FFFFFFCC"/>
      <color rgb="FF9900CC"/>
      <color rgb="FFFFAD19"/>
      <color rgb="FFFFFF99"/>
      <color rgb="FF99CCFF"/>
      <color rgb="FFCCCCFF"/>
      <color rgb="FFFFCC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3" Type="http://schemas.microsoft.com/office/2011/relationships/chartStyle" Target="style1.xml"/><Relationship Id="rId2" Type="http://schemas.microsoft.com/office/2011/relationships/chartColorStyle" Target="colors1.xml"/><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microsoft.com/office/2011/relationships/chartStyle" Target="style8.xml"/><Relationship Id="rId2" Type="http://schemas.microsoft.com/office/2011/relationships/chartColorStyle" Target="colors8.xml"/><Relationship Id="rId1" Type="http://schemas.openxmlformats.org/officeDocument/2006/relationships/themeOverride" Target="../theme/themeOverride2.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microsoft.com/office/2011/relationships/chartStyle" Target="style25.xml"/><Relationship Id="rId2" Type="http://schemas.microsoft.com/office/2011/relationships/chartColorStyle" Target="colors25.xml"/><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0486123343664533"/>
          <c:y val="0.36731848006419682"/>
          <c:w val="0.60119016419643079"/>
          <c:h val="0.2412754458618824"/>
        </c:manualLayout>
      </c:layout>
      <c:radarChart>
        <c:radarStyle val="marker"/>
        <c:varyColors val="0"/>
        <c:ser>
          <c:idx val="1"/>
          <c:order val="0"/>
          <c:tx>
            <c:v>Good</c:v>
          </c:tx>
          <c:spPr>
            <a:ln w="184150" cap="rnd">
              <a:solidFill>
                <a:schemeClr val="accent3">
                  <a:lumMod val="60000"/>
                  <a:lumOff val="40000"/>
                </a:schemeClr>
              </a:solidFill>
              <a:round/>
            </a:ln>
            <a:effectLst/>
          </c:spPr>
          <c:marker>
            <c:symbol val="none"/>
          </c:marker>
          <c:cat>
            <c:strRef>
              <c:f>'Engineer Self Assessment'!$BF$22:$BK$22</c:f>
              <c:strCache>
                <c:ptCount val="6"/>
                <c:pt idx="0">
                  <c:v>HHT</c:v>
                </c:pt>
                <c:pt idx="1">
                  <c:v>Broadband/Fibre</c:v>
                </c:pt>
                <c:pt idx="2">
                  <c:v>CAL OMI</c:v>
                </c:pt>
                <c:pt idx="3">
                  <c:v>UG</c:v>
                </c:pt>
                <c:pt idx="4">
                  <c:v>IPhone</c:v>
                </c:pt>
                <c:pt idx="5">
                  <c:v>Frames</c:v>
                </c:pt>
              </c:strCache>
            </c:strRef>
          </c:cat>
          <c:val>
            <c:numRef>
              <c:f>'Engineer Self Assessment'!$AZ$31:$BE$31</c:f>
              <c:numCache>
                <c:formatCode>General</c:formatCode>
                <c:ptCount val="6"/>
                <c:pt idx="0">
                  <c:v>3.75</c:v>
                </c:pt>
                <c:pt idx="1">
                  <c:v>3.75</c:v>
                </c:pt>
                <c:pt idx="2">
                  <c:v>3.75</c:v>
                </c:pt>
                <c:pt idx="3">
                  <c:v>3.75</c:v>
                </c:pt>
                <c:pt idx="4">
                  <c:v>3.75</c:v>
                </c:pt>
                <c:pt idx="5">
                  <c:v>3.75</c:v>
                </c:pt>
              </c:numCache>
            </c:numRef>
          </c:val>
        </c:ser>
        <c:ser>
          <c:idx val="2"/>
          <c:order val="1"/>
          <c:tx>
            <c:v>Development Needed</c:v>
          </c:tx>
          <c:spPr>
            <a:ln w="508000" cap="rnd">
              <a:solidFill>
                <a:srgbClr val="FF0000"/>
              </a:solidFill>
              <a:round/>
            </a:ln>
            <a:effectLst/>
          </c:spPr>
          <c:marker>
            <c:symbol val="none"/>
          </c:marker>
          <c:cat>
            <c:strRef>
              <c:f>'Engineer Self Assessment'!$BF$22:$BK$22</c:f>
              <c:strCache>
                <c:ptCount val="6"/>
                <c:pt idx="0">
                  <c:v>HHT</c:v>
                </c:pt>
                <c:pt idx="1">
                  <c:v>Broadband/Fibre</c:v>
                </c:pt>
                <c:pt idx="2">
                  <c:v>CAL OMI</c:v>
                </c:pt>
                <c:pt idx="3">
                  <c:v>UG</c:v>
                </c:pt>
                <c:pt idx="4">
                  <c:v>IPhone</c:v>
                </c:pt>
                <c:pt idx="5">
                  <c:v>Frames</c:v>
                </c:pt>
              </c:strCache>
            </c:strRef>
          </c:cat>
          <c:val>
            <c:numRef>
              <c:f>'Engineer Self Assessment'!$AZ$30:$BE$30</c:f>
              <c:numCache>
                <c:formatCode>General</c:formatCode>
                <c:ptCount val="6"/>
                <c:pt idx="0">
                  <c:v>0.75</c:v>
                </c:pt>
                <c:pt idx="1">
                  <c:v>0.75</c:v>
                </c:pt>
                <c:pt idx="2">
                  <c:v>0.75</c:v>
                </c:pt>
                <c:pt idx="3">
                  <c:v>0.75</c:v>
                </c:pt>
                <c:pt idx="4">
                  <c:v>0.75</c:v>
                </c:pt>
                <c:pt idx="5">
                  <c:v>0.75</c:v>
                </c:pt>
              </c:numCache>
            </c:numRef>
          </c:val>
        </c:ser>
        <c:ser>
          <c:idx val="0"/>
          <c:order val="2"/>
          <c:tx>
            <c:strRef>
              <c:f>'Engineer Self Assessment'!$BF$21:$BK$21</c:f>
              <c:strCache>
                <c:ptCount val="1"/>
                <c:pt idx="0">
                  <c:v>Technical Knowledge</c:v>
                </c:pt>
              </c:strCache>
            </c:strRef>
          </c:tx>
          <c:spPr>
            <a:ln w="28575" cap="rnd">
              <a:solidFill>
                <a:schemeClr val="accent1"/>
              </a:solidFill>
              <a:round/>
            </a:ln>
            <a:effectLst/>
          </c:spPr>
          <c:marker>
            <c:symbol val="none"/>
          </c:marker>
          <c:cat>
            <c:strRef>
              <c:f>'Engineer Self Assessment'!$BF$22:$BK$22</c:f>
              <c:strCache>
                <c:ptCount val="6"/>
                <c:pt idx="0">
                  <c:v>HHT</c:v>
                </c:pt>
                <c:pt idx="1">
                  <c:v>Broadband/Fibre</c:v>
                </c:pt>
                <c:pt idx="2">
                  <c:v>CAL OMI</c:v>
                </c:pt>
                <c:pt idx="3">
                  <c:v>UG</c:v>
                </c:pt>
                <c:pt idx="4">
                  <c:v>IPhone</c:v>
                </c:pt>
                <c:pt idx="5">
                  <c:v>Frames</c:v>
                </c:pt>
              </c:strCache>
            </c:strRef>
          </c:cat>
          <c:val>
            <c:numRef>
              <c:f>'Engineer Self Assessment'!$BF$23:$BK$23</c:f>
              <c:numCache>
                <c:formatCode>General</c:formatCode>
                <c:ptCount val="6"/>
                <c:pt idx="0">
                  <c:v>#N/A</c:v>
                </c:pt>
                <c:pt idx="1">
                  <c:v>#N/A</c:v>
                </c:pt>
                <c:pt idx="2">
                  <c:v>#N/A</c:v>
                </c:pt>
                <c:pt idx="3">
                  <c:v>#N/A</c:v>
                </c:pt>
                <c:pt idx="4">
                  <c:v>#N/A</c:v>
                </c:pt>
                <c:pt idx="5">
                  <c:v>#N/A</c:v>
                </c:pt>
              </c:numCache>
            </c:numRef>
          </c:val>
        </c:ser>
        <c:dLbls>
          <c:showLegendKey val="0"/>
          <c:showVal val="0"/>
          <c:showCatName val="0"/>
          <c:showSerName val="0"/>
          <c:showPercent val="0"/>
          <c:showBubbleSize val="0"/>
        </c:dLbls>
        <c:axId val="102540416"/>
        <c:axId val="102541952"/>
      </c:radarChart>
      <c:catAx>
        <c:axId val="102540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02541952"/>
        <c:crosses val="autoZero"/>
        <c:auto val="1"/>
        <c:lblAlgn val="ctr"/>
        <c:lblOffset val="100"/>
        <c:noMultiLvlLbl val="0"/>
      </c:catAx>
      <c:valAx>
        <c:axId val="102541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404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Scoresheet!$G$7:$H$7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Broadband</c:v>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Scoresheet!$G$8:$H$8</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Scoresheet!$G$9:$H$9</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Scoresheet!$G$10:$H$10</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Scoresheet!$G$11:$H$11</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Scoresheet!$G$12:$H$12</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8045589440096099"/>
          <c:y val="0.15069791919114781"/>
          <c:w val="0.68517755739166963"/>
          <c:h val="0.78467172718797673"/>
        </c:manualLayout>
      </c:layout>
      <c:radarChart>
        <c:radarStyle val="marker"/>
        <c:varyColors val="0"/>
        <c:ser>
          <c:idx val="1"/>
          <c:order val="0"/>
          <c:tx>
            <c:v>Good</c:v>
          </c:tx>
          <c:spPr>
            <a:ln w="184150" cap="rnd">
              <a:solidFill>
                <a:schemeClr val="accent3">
                  <a:lumMod val="60000"/>
                  <a:lumOff val="40000"/>
                </a:schemeClr>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Master!$L$19:$Q$19</c:f>
              <c:numCache>
                <c:formatCode>General</c:formatCode>
                <c:ptCount val="6"/>
                <c:pt idx="0">
                  <c:v>3.85</c:v>
                </c:pt>
                <c:pt idx="1">
                  <c:v>3.85</c:v>
                </c:pt>
                <c:pt idx="2">
                  <c:v>3.85</c:v>
                </c:pt>
                <c:pt idx="3">
                  <c:v>3.85</c:v>
                </c:pt>
                <c:pt idx="4">
                  <c:v>3.85</c:v>
                </c:pt>
                <c:pt idx="5">
                  <c:v>3.85</c:v>
                </c:pt>
              </c:numCache>
            </c:numRef>
          </c:val>
        </c:ser>
        <c:ser>
          <c:idx val="2"/>
          <c:order val="1"/>
          <c:tx>
            <c:v>Development Needed</c:v>
          </c:tx>
          <c:spPr>
            <a:ln w="508000" cap="rnd">
              <a:solidFill>
                <a:srgbClr val="FF0000"/>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Master!$L$18:$Q$18</c:f>
              <c:numCache>
                <c:formatCode>General</c:formatCode>
                <c:ptCount val="6"/>
                <c:pt idx="0">
                  <c:v>0.75</c:v>
                </c:pt>
                <c:pt idx="1">
                  <c:v>0.75</c:v>
                </c:pt>
                <c:pt idx="2">
                  <c:v>0.75</c:v>
                </c:pt>
                <c:pt idx="3">
                  <c:v>0.75</c:v>
                </c:pt>
                <c:pt idx="4">
                  <c:v>0.75</c:v>
                </c:pt>
                <c:pt idx="5">
                  <c:v>0.75</c:v>
                </c:pt>
              </c:numCache>
            </c:numRef>
          </c:val>
        </c:ser>
        <c:ser>
          <c:idx val="0"/>
          <c:order val="2"/>
          <c:tx>
            <c:strRef>
              <c:f>Master!$R$9:$W$9</c:f>
              <c:strCache>
                <c:ptCount val="1"/>
                <c:pt idx="0">
                  <c:v>Technical Knowledge</c:v>
                </c:pt>
              </c:strCache>
            </c:strRef>
          </c:tx>
          <c:spPr>
            <a:ln w="28575" cap="rnd">
              <a:solidFill>
                <a:schemeClr val="accent1"/>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Master!$R$11:$W$11</c:f>
              <c:numCache>
                <c:formatCode>General</c:formatCode>
                <c:ptCount val="6"/>
                <c:pt idx="0">
                  <c:v>#N/A</c:v>
                </c:pt>
                <c:pt idx="1">
                  <c:v>#N/A</c:v>
                </c:pt>
                <c:pt idx="2">
                  <c:v>#N/A</c:v>
                </c:pt>
                <c:pt idx="3">
                  <c:v>#N/A</c:v>
                </c:pt>
                <c:pt idx="4">
                  <c:v>#N/A</c:v>
                </c:pt>
                <c:pt idx="5">
                  <c:v>#N/A</c:v>
                </c:pt>
              </c:numCache>
            </c:numRef>
          </c:val>
        </c:ser>
        <c:ser>
          <c:idx val="3"/>
          <c:order val="3"/>
          <c:tx>
            <c:strRef>
              <c:f>Master!$R$21:$W$21</c:f>
              <c:strCache>
                <c:ptCount val="1"/>
                <c:pt idx="0">
                  <c:v>Technical Knowledge / Coach View</c:v>
                </c:pt>
              </c:strCache>
            </c:strRef>
          </c:tx>
          <c:spPr>
            <a:ln w="28575" cap="rnd">
              <a:solidFill>
                <a:srgbClr val="FFC000"/>
              </a:solidFill>
              <a:round/>
            </a:ln>
            <a:effectLst/>
          </c:spPr>
          <c:marker>
            <c:symbol val="none"/>
          </c:marker>
          <c:cat>
            <c:strRef>
              <c:f>Master!$R$10:$W$10</c:f>
              <c:strCache>
                <c:ptCount val="6"/>
                <c:pt idx="0">
                  <c:v>HHT</c:v>
                </c:pt>
                <c:pt idx="1">
                  <c:v>Broadband/Fibre</c:v>
                </c:pt>
                <c:pt idx="2">
                  <c:v>CAL OMI</c:v>
                </c:pt>
                <c:pt idx="3">
                  <c:v>UG</c:v>
                </c:pt>
                <c:pt idx="4">
                  <c:v>IPhone</c:v>
                </c:pt>
                <c:pt idx="5">
                  <c:v>Frames</c:v>
                </c:pt>
              </c:strCache>
            </c:strRef>
          </c:cat>
          <c:val>
            <c:numRef>
              <c:f>Master!$R$20:$W$20</c:f>
              <c:numCache>
                <c:formatCode>General</c:formatCode>
                <c:ptCount val="6"/>
                <c:pt idx="0">
                  <c:v>#N/A</c:v>
                </c:pt>
                <c:pt idx="1">
                  <c:v>#N/A</c:v>
                </c:pt>
                <c:pt idx="2">
                  <c:v>#N/A</c:v>
                </c:pt>
                <c:pt idx="3">
                  <c:v>#N/A</c:v>
                </c:pt>
                <c:pt idx="4">
                  <c:v>#N/A</c:v>
                </c:pt>
                <c:pt idx="5">
                  <c:v>#N/A</c:v>
                </c:pt>
              </c:numCache>
            </c:numRef>
          </c:val>
        </c:ser>
        <c:dLbls>
          <c:showLegendKey val="0"/>
          <c:showVal val="0"/>
          <c:showCatName val="0"/>
          <c:showSerName val="0"/>
          <c:showPercent val="0"/>
          <c:showBubbleSize val="0"/>
        </c:dLbls>
        <c:axId val="106837504"/>
        <c:axId val="106839040"/>
      </c:radarChart>
      <c:catAx>
        <c:axId val="106837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06839040"/>
        <c:crosses val="autoZero"/>
        <c:auto val="1"/>
        <c:lblAlgn val="ctr"/>
        <c:lblOffset val="100"/>
        <c:noMultiLvlLbl val="0"/>
      </c:catAx>
      <c:valAx>
        <c:axId val="106839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375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HHT</a:t>
            </a:r>
          </a:p>
        </c:rich>
      </c:tx>
      <c:overlay val="0"/>
      <c:spPr>
        <a:noFill/>
        <a:ln>
          <a:noFill/>
        </a:ln>
        <a:effectLst/>
      </c:spPr>
    </c:title>
    <c:autoTitleDeleted val="0"/>
    <c:plotArea>
      <c:layout/>
      <c:doughnutChart>
        <c:varyColors val="1"/>
        <c:ser>
          <c:idx val="0"/>
          <c:order val="0"/>
          <c:tx>
            <c:v>HHT</c:v>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Scoresheet!$G$7:$H$7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Broadband</a:t>
            </a:r>
          </a:p>
        </c:rich>
      </c:tx>
      <c:overlay val="0"/>
      <c:spPr>
        <a:noFill/>
        <a:ln>
          <a:noFill/>
        </a:ln>
        <a:effectLst/>
      </c:spPr>
    </c:title>
    <c:autoTitleDeleted val="0"/>
    <c:plotArea>
      <c:layout/>
      <c:doughnutChart>
        <c:varyColors val="1"/>
        <c:ser>
          <c:idx val="0"/>
          <c:order val="0"/>
          <c:tx>
            <c:v>Broadband</c:v>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Scoresheet!$G$8:$H$8</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a:t>
            </a:r>
          </a:p>
        </c:rich>
      </c:tx>
      <c:overlay val="0"/>
      <c:spPr>
        <a:noFill/>
        <a:ln>
          <a:noFill/>
        </a:ln>
        <a:effectLst/>
      </c:sp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Scoresheet!$G$9:$H$9</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sz="1800" b="1" i="0" u="none" strike="noStrike" kern="1200" baseline="0">
                <a:solidFill>
                  <a:schemeClr val="dk1">
                    <a:lumMod val="75000"/>
                    <a:lumOff val="25000"/>
                  </a:schemeClr>
                </a:solidFill>
                <a:latin typeface="+mn-lt"/>
                <a:ea typeface="+mn-ea"/>
                <a:cs typeface="+mn-cs"/>
              </a:defRPr>
            </a:pPr>
            <a:r>
              <a:rPr lang="en-GB" baseline="0"/>
              <a:t>Safety</a:t>
            </a:r>
          </a:p>
        </c:rich>
      </c:tx>
      <c:overlay val="0"/>
      <c:spPr>
        <a:noFill/>
        <a:ln>
          <a:noFill/>
        </a:ln>
        <a:effectLst/>
      </c:spPr>
    </c:title>
    <c:autoTitleDeleted val="0"/>
    <c:plotArea>
      <c:layout/>
      <c:doughnutChart>
        <c:varyColors val="1"/>
        <c:ser>
          <c:idx val="0"/>
          <c:order val="0"/>
          <c:dPt>
            <c:idx val="0"/>
            <c:bubble3D val="0"/>
            <c:spPr>
              <a:solidFill>
                <a:schemeClr val="accent1">
                  <a:shade val="76000"/>
                </a:schemeClr>
              </a:solidFill>
              <a:ln>
                <a:noFill/>
              </a:ln>
              <a:effectLst>
                <a:outerShdw blurRad="254000" sx="102000" sy="102000" algn="ctr" rotWithShape="0">
                  <a:prstClr val="black">
                    <a:alpha val="20000"/>
                  </a:prstClr>
                </a:outerShdw>
              </a:effectLst>
            </c:spPr>
          </c:dPt>
          <c:dPt>
            <c:idx val="1"/>
            <c:bubble3D val="0"/>
            <c:spPr>
              <a:solidFill>
                <a:schemeClr val="accent1">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Scoresheet!$F$16:$G$16</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sz="1800" b="1" i="0" u="none" strike="noStrike" kern="1200" baseline="0">
                <a:solidFill>
                  <a:schemeClr val="dk1">
                    <a:lumMod val="75000"/>
                    <a:lumOff val="25000"/>
                  </a:schemeClr>
                </a:solidFill>
                <a:latin typeface="+mn-lt"/>
                <a:ea typeface="+mn-ea"/>
                <a:cs typeface="+mn-cs"/>
              </a:defRPr>
            </a:pPr>
            <a:r>
              <a:rPr lang="en-GB" baseline="0"/>
              <a:t>Process</a:t>
            </a:r>
          </a:p>
        </c:rich>
      </c:tx>
      <c:overlay val="0"/>
      <c:spPr>
        <a:noFill/>
        <a:ln>
          <a:noFill/>
        </a:ln>
        <a:effectLst/>
      </c:spPr>
    </c:title>
    <c:autoTitleDeleted val="0"/>
    <c:plotArea>
      <c:layout/>
      <c:doughnutChart>
        <c:varyColors val="1"/>
        <c:ser>
          <c:idx val="0"/>
          <c:order val="0"/>
          <c:dPt>
            <c:idx val="0"/>
            <c:bubble3D val="0"/>
            <c:spPr>
              <a:solidFill>
                <a:schemeClr val="accent3">
                  <a:shade val="76000"/>
                </a:schemeClr>
              </a:solidFill>
              <a:ln>
                <a:noFill/>
              </a:ln>
              <a:effectLst>
                <a:outerShdw blurRad="254000" sx="102000" sy="102000" algn="ctr" rotWithShape="0">
                  <a:prstClr val="black">
                    <a:alpha val="20000"/>
                  </a:prstClr>
                </a:outerShdw>
              </a:effectLst>
            </c:spPr>
          </c:dPt>
          <c:dPt>
            <c:idx val="1"/>
            <c:bubble3D val="0"/>
            <c:spPr>
              <a:solidFill>
                <a:schemeClr val="accent3">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Scoresheet!$F$17:$G$17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sz="1800" b="1" i="0" u="none" strike="noStrike" kern="1200" baseline="0">
                <a:solidFill>
                  <a:schemeClr val="dk1">
                    <a:lumMod val="75000"/>
                    <a:lumOff val="25000"/>
                  </a:schemeClr>
                </a:solidFill>
                <a:latin typeface="+mn-lt"/>
                <a:ea typeface="+mn-ea"/>
                <a:cs typeface="+mn-cs"/>
              </a:defRPr>
            </a:pPr>
            <a:r>
              <a:rPr lang="en-GB" baseline="0"/>
              <a:t>Quality</a:t>
            </a:r>
          </a:p>
        </c:rich>
      </c:tx>
      <c:overlay val="0"/>
      <c:spPr>
        <a:noFill/>
        <a:ln>
          <a:noFill/>
        </a:ln>
        <a:effectLst/>
      </c:spPr>
    </c:title>
    <c:autoTitleDeleted val="0"/>
    <c:plotArea>
      <c:layout/>
      <c:doughnutChart>
        <c:varyColors val="1"/>
        <c:ser>
          <c:idx val="0"/>
          <c:order val="0"/>
          <c:dPt>
            <c:idx val="0"/>
            <c:bubble3D val="0"/>
            <c:spPr>
              <a:solidFill>
                <a:schemeClr val="accent4">
                  <a:shade val="76000"/>
                </a:schemeClr>
              </a:solidFill>
              <a:ln>
                <a:noFill/>
              </a:ln>
              <a:effectLst>
                <a:outerShdw blurRad="254000" sx="102000" sy="102000" algn="ctr" rotWithShape="0">
                  <a:prstClr val="black">
                    <a:alpha val="20000"/>
                  </a:prstClr>
                </a:outerShdw>
              </a:effectLst>
            </c:spPr>
          </c:dPt>
          <c:dPt>
            <c:idx val="1"/>
            <c:bubble3D val="0"/>
            <c:spPr>
              <a:solidFill>
                <a:schemeClr val="accent4">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Scoresheet!$F$18:$G$18</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CAL</a:t>
            </a:r>
            <a:r>
              <a:rPr lang="en-GB" baseline="0"/>
              <a:t> / OMI </a:t>
            </a:r>
          </a:p>
          <a:p>
            <a:pPr>
              <a:defRPr sz="1800" b="1" i="0" u="none" strike="noStrike" kern="1200" baseline="0">
                <a:solidFill>
                  <a:schemeClr val="dk1">
                    <a:lumMod val="75000"/>
                    <a:lumOff val="25000"/>
                  </a:schemeClr>
                </a:solidFill>
                <a:latin typeface="+mn-lt"/>
                <a:ea typeface="+mn-ea"/>
                <a:cs typeface="+mn-cs"/>
              </a:defRPr>
            </a:pPr>
            <a:r>
              <a:rPr lang="en-GB" baseline="0"/>
              <a:t>TRC</a:t>
            </a:r>
          </a:p>
        </c:rich>
      </c:tx>
      <c:overlay val="0"/>
      <c:spPr>
        <a:noFill/>
        <a:ln>
          <a:noFill/>
        </a:ln>
        <a:effectLst/>
      </c:spPr>
    </c:title>
    <c:autoTitleDeleted val="0"/>
    <c:plotArea>
      <c:layout/>
      <c:doughnutChart>
        <c:varyColors val="1"/>
        <c:ser>
          <c:idx val="0"/>
          <c:order val="0"/>
          <c:dPt>
            <c:idx val="0"/>
            <c:bubble3D val="0"/>
            <c:spPr>
              <a:solidFill>
                <a:schemeClr val="accent2">
                  <a:shade val="76000"/>
                </a:schemeClr>
              </a:solidFill>
              <a:ln>
                <a:noFill/>
              </a:ln>
              <a:effectLst>
                <a:outerShdw blurRad="254000" sx="102000" sy="102000" algn="ctr" rotWithShape="0">
                  <a:prstClr val="black">
                    <a:alpha val="20000"/>
                  </a:prstClr>
                </a:outerShdw>
              </a:effectLst>
            </c:spPr>
          </c:dPt>
          <c:dPt>
            <c:idx val="1"/>
            <c:bubble3D val="0"/>
            <c:spPr>
              <a:solidFill>
                <a:schemeClr val="accent2">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Scoresheet!$F$19:$G$19</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UG</a:t>
            </a:r>
          </a:p>
        </c:rich>
      </c:tx>
      <c:overlay val="0"/>
      <c:spPr>
        <a:noFill/>
        <a:ln>
          <a:noFill/>
        </a:ln>
        <a:effectLst/>
      </c:sp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Scoresheet!$G$10:$H$10</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UG</a:t>
            </a:r>
            <a:endParaRPr lang="en-GB" baseline="0"/>
          </a:p>
          <a:p>
            <a:pPr>
              <a:defRPr sz="1800" b="1" i="0" u="none" strike="noStrike" kern="1200" baseline="0">
                <a:solidFill>
                  <a:schemeClr val="dk1">
                    <a:lumMod val="75000"/>
                    <a:lumOff val="25000"/>
                  </a:schemeClr>
                </a:solidFill>
                <a:latin typeface="+mn-lt"/>
                <a:ea typeface="+mn-ea"/>
                <a:cs typeface="+mn-cs"/>
              </a:defRPr>
            </a:pPr>
            <a:r>
              <a:rPr lang="en-GB" baseline="0"/>
              <a:t>Safety</a:t>
            </a:r>
          </a:p>
        </c:rich>
      </c:tx>
      <c:overlay val="0"/>
      <c:spPr>
        <a:noFill/>
        <a:ln>
          <a:noFill/>
        </a:ln>
        <a:effectLst/>
      </c:spPr>
    </c:title>
    <c:autoTitleDeleted val="0"/>
    <c:plotArea>
      <c:layout/>
      <c:doughnutChart>
        <c:varyColors val="1"/>
        <c:ser>
          <c:idx val="0"/>
          <c:order val="0"/>
          <c:dPt>
            <c:idx val="0"/>
            <c:bubble3D val="0"/>
            <c:spPr>
              <a:solidFill>
                <a:schemeClr val="accent1">
                  <a:shade val="76000"/>
                </a:schemeClr>
              </a:solidFill>
              <a:ln>
                <a:noFill/>
              </a:ln>
              <a:effectLst>
                <a:outerShdw blurRad="254000" sx="102000" sy="102000" algn="ctr" rotWithShape="0">
                  <a:prstClr val="black">
                    <a:alpha val="20000"/>
                  </a:prstClr>
                </a:outerShdw>
              </a:effectLst>
            </c:spPr>
          </c:dPt>
          <c:dPt>
            <c:idx val="1"/>
            <c:bubble3D val="0"/>
            <c:spPr>
              <a:solidFill>
                <a:schemeClr val="accent1">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Scoresheet!$F$21:$G$21</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UG </a:t>
            </a:r>
          </a:p>
          <a:p>
            <a:pPr>
              <a:defRPr sz="1800" b="1" i="0" u="none" strike="noStrike" kern="1200" baseline="0">
                <a:solidFill>
                  <a:schemeClr val="dk1">
                    <a:lumMod val="75000"/>
                    <a:lumOff val="25000"/>
                  </a:schemeClr>
                </a:solidFill>
                <a:latin typeface="+mn-lt"/>
                <a:ea typeface="+mn-ea"/>
                <a:cs typeface="+mn-cs"/>
              </a:defRPr>
            </a:pPr>
            <a:r>
              <a:rPr lang="en-GB" baseline="0"/>
              <a:t>Process</a:t>
            </a:r>
          </a:p>
        </c:rich>
      </c:tx>
      <c:overlay val="0"/>
      <c:spPr>
        <a:noFill/>
        <a:ln>
          <a:noFill/>
        </a:ln>
        <a:effectLst/>
      </c:spPr>
    </c:title>
    <c:autoTitleDeleted val="0"/>
    <c:plotArea>
      <c:layout/>
      <c:doughnutChart>
        <c:varyColors val="1"/>
        <c:ser>
          <c:idx val="0"/>
          <c:order val="0"/>
          <c:dPt>
            <c:idx val="0"/>
            <c:bubble3D val="0"/>
            <c:spPr>
              <a:solidFill>
                <a:schemeClr val="accent3">
                  <a:shade val="76000"/>
                </a:schemeClr>
              </a:solidFill>
              <a:ln>
                <a:noFill/>
              </a:ln>
              <a:effectLst>
                <a:outerShdw blurRad="254000" sx="102000" sy="102000" algn="ctr" rotWithShape="0">
                  <a:prstClr val="black">
                    <a:alpha val="20000"/>
                  </a:prstClr>
                </a:outerShdw>
              </a:effectLst>
            </c:spPr>
          </c:dPt>
          <c:dPt>
            <c:idx val="1"/>
            <c:bubble3D val="0"/>
            <c:spPr>
              <a:solidFill>
                <a:schemeClr val="accent3">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Scoresheet!$F$23:$G$23</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UG </a:t>
            </a:r>
          </a:p>
          <a:p>
            <a:pPr>
              <a:defRPr sz="1800" b="1" i="0" u="none" strike="noStrike" kern="1200" baseline="0">
                <a:solidFill>
                  <a:schemeClr val="dk1">
                    <a:lumMod val="75000"/>
                    <a:lumOff val="25000"/>
                  </a:schemeClr>
                </a:solidFill>
                <a:latin typeface="+mn-lt"/>
                <a:ea typeface="+mn-ea"/>
                <a:cs typeface="+mn-cs"/>
              </a:defRPr>
            </a:pPr>
            <a:r>
              <a:rPr lang="en-GB" baseline="0"/>
              <a:t>Quality</a:t>
            </a:r>
          </a:p>
        </c:rich>
      </c:tx>
      <c:overlay val="0"/>
      <c:spPr>
        <a:noFill/>
        <a:ln>
          <a:noFill/>
        </a:ln>
        <a:effectLst/>
      </c:spPr>
    </c:title>
    <c:autoTitleDeleted val="0"/>
    <c:plotArea>
      <c:layout/>
      <c:doughnutChart>
        <c:varyColors val="1"/>
        <c:ser>
          <c:idx val="0"/>
          <c:order val="0"/>
          <c:dPt>
            <c:idx val="0"/>
            <c:bubble3D val="0"/>
            <c:spPr>
              <a:solidFill>
                <a:schemeClr val="accent4">
                  <a:shade val="76000"/>
                </a:schemeClr>
              </a:solidFill>
              <a:ln>
                <a:noFill/>
              </a:ln>
              <a:effectLst>
                <a:outerShdw blurRad="254000" sx="102000" sy="102000" algn="ctr" rotWithShape="0">
                  <a:prstClr val="black">
                    <a:alpha val="20000"/>
                  </a:prstClr>
                </a:outerShdw>
              </a:effectLst>
            </c:spPr>
          </c:dPt>
          <c:dPt>
            <c:idx val="1"/>
            <c:bubble3D val="0"/>
            <c:spPr>
              <a:solidFill>
                <a:schemeClr val="accent4">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Scoresheet!$F$22:$G$22</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Iphone</a:t>
            </a:r>
          </a:p>
        </c:rich>
      </c:tx>
      <c:overlay val="0"/>
      <c:spPr>
        <a:noFill/>
        <a:ln>
          <a:noFill/>
        </a:ln>
        <a:effectLst/>
      </c:sp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Scoresheet!$G$11:$H$11</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Frames</a:t>
            </a:r>
          </a:p>
        </c:rich>
      </c:tx>
      <c:overlay val="0"/>
      <c:spPr>
        <a:noFill/>
        <a:ln>
          <a:noFill/>
        </a:ln>
        <a:effectLst/>
      </c:spPr>
    </c:title>
    <c:autoTitleDeleted val="0"/>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Scoresheet!$G$12:$H$12</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Frames</a:t>
            </a:r>
          </a:p>
          <a:p>
            <a:pPr>
              <a:defRPr sz="1800" b="1" i="0" u="none" strike="noStrike" kern="1200" baseline="0">
                <a:solidFill>
                  <a:schemeClr val="dk1">
                    <a:lumMod val="75000"/>
                    <a:lumOff val="25000"/>
                  </a:schemeClr>
                </a:solidFill>
                <a:latin typeface="+mn-lt"/>
                <a:ea typeface="+mn-ea"/>
                <a:cs typeface="+mn-cs"/>
              </a:defRPr>
            </a:pPr>
            <a:r>
              <a:rPr lang="en-GB" baseline="0"/>
              <a:t>Safety</a:t>
            </a:r>
          </a:p>
        </c:rich>
      </c:tx>
      <c:overlay val="0"/>
      <c:spPr>
        <a:noFill/>
        <a:ln>
          <a:noFill/>
        </a:ln>
        <a:effectLst/>
      </c:spPr>
    </c:title>
    <c:autoTitleDeleted val="0"/>
    <c:plotArea>
      <c:layout/>
      <c:doughnutChart>
        <c:varyColors val="1"/>
        <c:ser>
          <c:idx val="0"/>
          <c:order val="0"/>
          <c:dPt>
            <c:idx val="0"/>
            <c:bubble3D val="0"/>
            <c:spPr>
              <a:solidFill>
                <a:schemeClr val="accent1">
                  <a:shade val="76000"/>
                </a:schemeClr>
              </a:solidFill>
              <a:ln>
                <a:noFill/>
              </a:ln>
              <a:effectLst>
                <a:outerShdw blurRad="254000" sx="102000" sy="102000" algn="ctr" rotWithShape="0">
                  <a:prstClr val="black">
                    <a:alpha val="20000"/>
                  </a:prstClr>
                </a:outerShdw>
              </a:effectLst>
            </c:spPr>
          </c:dPt>
          <c:dPt>
            <c:idx val="1"/>
            <c:bubble3D val="0"/>
            <c:spPr>
              <a:solidFill>
                <a:schemeClr val="accent1">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Scoresheet!$F$25:$G$25</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Frames </a:t>
            </a:r>
          </a:p>
          <a:p>
            <a:pPr>
              <a:defRPr sz="1800" b="1" i="0" u="none" strike="noStrike" kern="1200" baseline="0">
                <a:solidFill>
                  <a:schemeClr val="dk1">
                    <a:lumMod val="75000"/>
                    <a:lumOff val="25000"/>
                  </a:schemeClr>
                </a:solidFill>
                <a:latin typeface="+mn-lt"/>
                <a:ea typeface="+mn-ea"/>
                <a:cs typeface="+mn-cs"/>
              </a:defRPr>
            </a:pPr>
            <a:r>
              <a:rPr lang="en-GB" baseline="0"/>
              <a:t>Process</a:t>
            </a:r>
          </a:p>
        </c:rich>
      </c:tx>
      <c:overlay val="0"/>
      <c:spPr>
        <a:noFill/>
        <a:ln>
          <a:noFill/>
        </a:ln>
        <a:effectLst/>
      </c:spPr>
    </c:title>
    <c:autoTitleDeleted val="0"/>
    <c:plotArea>
      <c:layout/>
      <c:doughnutChart>
        <c:varyColors val="1"/>
        <c:ser>
          <c:idx val="0"/>
          <c:order val="0"/>
          <c:dPt>
            <c:idx val="0"/>
            <c:bubble3D val="0"/>
            <c:spPr>
              <a:solidFill>
                <a:schemeClr val="accent3">
                  <a:shade val="76000"/>
                </a:schemeClr>
              </a:solidFill>
              <a:ln>
                <a:noFill/>
              </a:ln>
              <a:effectLst>
                <a:outerShdw blurRad="254000" sx="102000" sy="102000" algn="ctr" rotWithShape="0">
                  <a:prstClr val="black">
                    <a:alpha val="20000"/>
                  </a:prstClr>
                </a:outerShdw>
              </a:effectLst>
            </c:spPr>
          </c:dPt>
          <c:dPt>
            <c:idx val="1"/>
            <c:bubble3D val="0"/>
            <c:spPr>
              <a:solidFill>
                <a:schemeClr val="accent3">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Scoresheet!$F$27:$G$27</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baseline="0"/>
              <a:t>Frames </a:t>
            </a:r>
          </a:p>
          <a:p>
            <a:pPr>
              <a:defRPr sz="1800" b="1" i="0" u="none" strike="noStrike" kern="1200" baseline="0">
                <a:solidFill>
                  <a:schemeClr val="dk1">
                    <a:lumMod val="75000"/>
                    <a:lumOff val="25000"/>
                  </a:schemeClr>
                </a:solidFill>
                <a:latin typeface="+mn-lt"/>
                <a:ea typeface="+mn-ea"/>
                <a:cs typeface="+mn-cs"/>
              </a:defRPr>
            </a:pPr>
            <a:r>
              <a:rPr lang="en-GB" baseline="0"/>
              <a:t>Quality</a:t>
            </a:r>
          </a:p>
        </c:rich>
      </c:tx>
      <c:overlay val="0"/>
      <c:spPr>
        <a:noFill/>
        <a:ln>
          <a:noFill/>
        </a:ln>
        <a:effectLst/>
      </c:spPr>
    </c:title>
    <c:autoTitleDeleted val="0"/>
    <c:plotArea>
      <c:layout/>
      <c:doughnutChart>
        <c:varyColors val="1"/>
        <c:ser>
          <c:idx val="0"/>
          <c:order val="0"/>
          <c:dPt>
            <c:idx val="0"/>
            <c:bubble3D val="0"/>
            <c:spPr>
              <a:solidFill>
                <a:schemeClr val="accent4">
                  <a:shade val="76000"/>
                </a:schemeClr>
              </a:solidFill>
              <a:ln>
                <a:noFill/>
              </a:ln>
              <a:effectLst>
                <a:outerShdw blurRad="254000" sx="102000" sy="102000" algn="ctr" rotWithShape="0">
                  <a:prstClr val="black">
                    <a:alpha val="20000"/>
                  </a:prstClr>
                </a:outerShdw>
              </a:effectLst>
            </c:spPr>
          </c:dPt>
          <c:dPt>
            <c:idx val="1"/>
            <c:bubble3D val="0"/>
            <c:spPr>
              <a:solidFill>
                <a:schemeClr val="accent4">
                  <a:tint val="77000"/>
                </a:schemeClr>
              </a:solidFill>
              <a:ln>
                <a:noFill/>
              </a:ln>
              <a:effectLst>
                <a:outerShdw blurRad="254000" sx="102000" sy="102000" algn="ctr" rotWithShape="0">
                  <a:prstClr val="black">
                    <a:alpha val="20000"/>
                  </a:prstClr>
                </a:outerShdw>
              </a:effectLst>
            </c:spPr>
          </c:dPt>
          <c:dLbls>
            <c:dLbl>
              <c:idx val="1"/>
              <c:delete val="1"/>
              <c:extLst>
                <c:ext xmlns:c15="http://schemas.microsoft.com/office/drawing/2012/chart" uri="{CE6537A1-D6FC-4f65-9D91-7224C49458BB}"/>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Scoresheet!$F$26:$G$26</c:f>
              <c:numCache>
                <c:formatCode>0%</c:formatCode>
                <c:ptCount val="2"/>
                <c:pt idx="0">
                  <c:v>0</c:v>
                </c:pt>
                <c:pt idx="1">
                  <c:v>0</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GB" b="1" u="sng"/>
              <a:t>Skills</a:t>
            </a:r>
          </a:p>
        </c:rich>
      </c:tx>
      <c:overlay val="0"/>
      <c:spPr>
        <a:noFill/>
        <a:ln>
          <a:noFill/>
        </a:ln>
        <a:effectLst/>
      </c:spPr>
    </c:title>
    <c:autoTitleDeleted val="0"/>
    <c:plotArea>
      <c:layout/>
      <c:radarChart>
        <c:radarStyle val="marker"/>
        <c:varyColors val="0"/>
        <c:ser>
          <c:idx val="1"/>
          <c:order val="0"/>
          <c:tx>
            <c:v>Skilled</c:v>
          </c:tx>
          <c:spPr>
            <a:ln w="184150" cap="rnd">
              <a:solidFill>
                <a:schemeClr val="accent3">
                  <a:lumMod val="60000"/>
                  <a:lumOff val="40000"/>
                </a:schemeClr>
              </a:solidFill>
              <a:round/>
            </a:ln>
            <a:effectLst/>
          </c:spPr>
          <c:marker>
            <c:symbol val="none"/>
          </c:marker>
          <c:val>
            <c:numRef>
              <c:f>Master!$L$19:$Q$19</c:f>
              <c:numCache>
                <c:formatCode>General</c:formatCode>
                <c:ptCount val="6"/>
                <c:pt idx="0">
                  <c:v>3.85</c:v>
                </c:pt>
                <c:pt idx="1">
                  <c:v>3.85</c:v>
                </c:pt>
                <c:pt idx="2">
                  <c:v>3.85</c:v>
                </c:pt>
                <c:pt idx="3">
                  <c:v>3.85</c:v>
                </c:pt>
                <c:pt idx="4">
                  <c:v>3.85</c:v>
                </c:pt>
                <c:pt idx="5">
                  <c:v>3.85</c:v>
                </c:pt>
              </c:numCache>
            </c:numRef>
          </c:val>
        </c:ser>
        <c:ser>
          <c:idx val="2"/>
          <c:order val="1"/>
          <c:tx>
            <c:v>Not Skilled</c:v>
          </c:tx>
          <c:spPr>
            <a:ln w="508000" cap="rnd">
              <a:solidFill>
                <a:srgbClr val="FF0000"/>
              </a:solidFill>
              <a:round/>
            </a:ln>
            <a:effectLst/>
          </c:spPr>
          <c:marker>
            <c:symbol val="none"/>
          </c:marker>
          <c:val>
            <c:numRef>
              <c:f>Master!$L$18:$Q$18</c:f>
              <c:numCache>
                <c:formatCode>General</c:formatCode>
                <c:ptCount val="6"/>
                <c:pt idx="0">
                  <c:v>0.75</c:v>
                </c:pt>
                <c:pt idx="1">
                  <c:v>0.75</c:v>
                </c:pt>
                <c:pt idx="2">
                  <c:v>0.75</c:v>
                </c:pt>
                <c:pt idx="3">
                  <c:v>0.75</c:v>
                </c:pt>
                <c:pt idx="4">
                  <c:v>0.75</c:v>
                </c:pt>
                <c:pt idx="5">
                  <c:v>0.75</c:v>
                </c:pt>
              </c:numCache>
            </c:numRef>
          </c:val>
        </c:ser>
        <c:ser>
          <c:idx val="0"/>
          <c:order val="2"/>
          <c:tx>
            <c:strRef>
              <c:f>Master!$L$9:$Q$9</c:f>
              <c:strCache>
                <c:ptCount val="1"/>
                <c:pt idx="0">
                  <c:v>Skills</c:v>
                </c:pt>
              </c:strCache>
            </c:strRef>
          </c:tx>
          <c:spPr>
            <a:ln w="28575" cap="rnd">
              <a:solidFill>
                <a:schemeClr val="accent1"/>
              </a:solidFill>
              <a:round/>
            </a:ln>
            <a:effectLst/>
          </c:spPr>
          <c:marker>
            <c:symbol val="none"/>
          </c:marker>
          <c:cat>
            <c:strRef>
              <c:f>Master!$L$10:$Q$10</c:f>
              <c:strCache>
                <c:ptCount val="6"/>
                <c:pt idx="0">
                  <c:v>CAL / OMI</c:v>
                </c:pt>
                <c:pt idx="1">
                  <c:v>UG or First Look</c:v>
                </c:pt>
                <c:pt idx="2">
                  <c:v>BB</c:v>
                </c:pt>
                <c:pt idx="3">
                  <c:v>FTTC</c:v>
                </c:pt>
                <c:pt idx="4">
                  <c:v>IPhone/Apps</c:v>
                </c:pt>
                <c:pt idx="5">
                  <c:v>Frames H1/H4</c:v>
                </c:pt>
              </c:strCache>
            </c:strRef>
          </c:cat>
          <c:val>
            <c:numRef>
              <c:f>Master!$L$11:$Q$11</c:f>
              <c:numCache>
                <c:formatCode>General</c:formatCode>
                <c:ptCount val="6"/>
                <c:pt idx="0">
                  <c:v>#N/A</c:v>
                </c:pt>
                <c:pt idx="1">
                  <c:v>#N/A</c:v>
                </c:pt>
                <c:pt idx="2">
                  <c:v>#N/A</c:v>
                </c:pt>
                <c:pt idx="3">
                  <c:v>#N/A</c:v>
                </c:pt>
                <c:pt idx="4">
                  <c:v>#N/A</c:v>
                </c:pt>
                <c:pt idx="5">
                  <c:v>#N/A</c:v>
                </c:pt>
              </c:numCache>
            </c:numRef>
          </c:val>
        </c:ser>
        <c:ser>
          <c:idx val="3"/>
          <c:order val="3"/>
          <c:tx>
            <c:strRef>
              <c:f>Master!$L$21:$Q$21</c:f>
              <c:strCache>
                <c:ptCount val="1"/>
                <c:pt idx="0">
                  <c:v>Skills / Coach View</c:v>
                </c:pt>
              </c:strCache>
            </c:strRef>
          </c:tx>
          <c:spPr>
            <a:ln w="28575" cap="rnd">
              <a:solidFill>
                <a:srgbClr val="FFC000"/>
              </a:solidFill>
              <a:round/>
            </a:ln>
            <a:effectLst/>
          </c:spPr>
          <c:marker>
            <c:symbol val="none"/>
          </c:marker>
          <c:val>
            <c:numRef>
              <c:f>Master!$L$20:$Q$20</c:f>
              <c:numCache>
                <c:formatCode>General</c:formatCode>
                <c:ptCount val="6"/>
                <c:pt idx="0">
                  <c:v>#N/A</c:v>
                </c:pt>
                <c:pt idx="1">
                  <c:v>#N/A</c:v>
                </c:pt>
                <c:pt idx="2">
                  <c:v>#N/A</c:v>
                </c:pt>
                <c:pt idx="3">
                  <c:v>#N/A</c:v>
                </c:pt>
                <c:pt idx="4">
                  <c:v>#N/A</c:v>
                </c:pt>
                <c:pt idx="5">
                  <c:v>#N/A</c:v>
                </c:pt>
              </c:numCache>
            </c:numRef>
          </c:val>
        </c:ser>
        <c:dLbls>
          <c:showLegendKey val="0"/>
          <c:showVal val="0"/>
          <c:showCatName val="0"/>
          <c:showSerName val="0"/>
          <c:showPercent val="0"/>
          <c:showBubbleSize val="0"/>
        </c:dLbls>
        <c:axId val="107152512"/>
        <c:axId val="107154048"/>
      </c:radarChart>
      <c:catAx>
        <c:axId val="1071525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07154048"/>
        <c:crosses val="autoZero"/>
        <c:auto val="1"/>
        <c:lblAlgn val="ctr"/>
        <c:lblOffset val="100"/>
        <c:noMultiLvlLbl val="0"/>
      </c:catAx>
      <c:valAx>
        <c:axId val="10715404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71525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withinLinear" id="17">
  <a:schemeClr val="accent4"/>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7">
  <a:schemeClr val="accent4"/>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6">
  <a:schemeClr val="accent3"/>
</cs:colorStyle>
</file>

<file path=xl/charts/colors24.xml><?xml version="1.0" encoding="utf-8"?>
<cs:colorStyle xmlns:cs="http://schemas.microsoft.com/office/drawing/2012/chartStyle" xmlns:a="http://schemas.openxmlformats.org/drawingml/2006/main" meth="withinLinear" id="17">
  <a:schemeClr val="accent4"/>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IPhone!A1"/><Relationship Id="rId3" Type="http://schemas.openxmlformats.org/officeDocument/2006/relationships/image" Target="../media/image2.png"/><Relationship Id="rId7" Type="http://schemas.openxmlformats.org/officeDocument/2006/relationships/hyperlink" Target="#UG!A1"/><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hyperlink" Target="#'CAL OMI'!A1"/><Relationship Id="rId5" Type="http://schemas.openxmlformats.org/officeDocument/2006/relationships/hyperlink" Target="#Broadband!A1"/><Relationship Id="rId4" Type="http://schemas.openxmlformats.org/officeDocument/2006/relationships/hyperlink" Target="#HHT!A1"/><Relationship Id="rId9" Type="http://schemas.openxmlformats.org/officeDocument/2006/relationships/hyperlink" Target="#Frames!A1"/></Relationships>
</file>

<file path=xl/drawings/_rels/drawing4.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hyperlink" Target="#'Engineer Self Assessment'!A1"/></Relationships>
</file>

<file path=xl/drawings/_rels/drawing11.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18" Type="http://schemas.openxmlformats.org/officeDocument/2006/relationships/chart" Target="../charts/chart23.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17" Type="http://schemas.openxmlformats.org/officeDocument/2006/relationships/chart" Target="../charts/chart22.xml"/><Relationship Id="rId2" Type="http://schemas.openxmlformats.org/officeDocument/2006/relationships/chart" Target="../charts/chart8.xml"/><Relationship Id="rId16" Type="http://schemas.openxmlformats.org/officeDocument/2006/relationships/chart" Target="../charts/chart21.xml"/><Relationship Id="rId20" Type="http://schemas.openxmlformats.org/officeDocument/2006/relationships/hyperlink" Target="#'Engineer Self Assessment'!A1"/><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5" Type="http://schemas.openxmlformats.org/officeDocument/2006/relationships/image" Target="../media/image2.png"/><Relationship Id="rId10" Type="http://schemas.openxmlformats.org/officeDocument/2006/relationships/chart" Target="../charts/chart16.xml"/><Relationship Id="rId19" Type="http://schemas.openxmlformats.org/officeDocument/2006/relationships/chart" Target="../charts/chart24.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1.png"/><Relationship Id="rId1" Type="http://schemas.openxmlformats.org/officeDocument/2006/relationships/hyperlink" Target="#'Front Cover'!A1"/></Relationships>
</file>

<file path=xl/drawings/_rels/drawing13.xml.rels><?xml version="1.0" encoding="UTF-8" standalone="yes"?>
<Relationships xmlns="http://schemas.openxmlformats.org/package/2006/relationships"><Relationship Id="rId1" Type="http://schemas.openxmlformats.org/officeDocument/2006/relationships/hyperlink" Target="#'Front Cover'!A1"/></Relationships>
</file>

<file path=xl/drawings/_rels/drawing14.xml.rels><?xml version="1.0" encoding="UTF-8" standalone="yes"?>
<Relationships xmlns="http://schemas.openxmlformats.org/package/2006/relationships"><Relationship Id="rId2" Type="http://schemas.openxmlformats.org/officeDocument/2006/relationships/hyperlink" Target="#'Engineer Self Assessment'!A1"/><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257175</xdr:colOff>
      <xdr:row>4</xdr:row>
      <xdr:rowOff>85725</xdr:rowOff>
    </xdr:from>
    <xdr:to>
      <xdr:col>9</xdr:col>
      <xdr:colOff>266700</xdr:colOff>
      <xdr:row>9</xdr:row>
      <xdr:rowOff>59868</xdr:rowOff>
    </xdr:to>
    <xdr:pic>
      <xdr:nvPicPr>
        <xdr:cNvPr id="3" name="Picture 2"/>
        <xdr:cNvPicPr>
          <a:picLocks noChangeAspect="1"/>
        </xdr:cNvPicPr>
      </xdr:nvPicPr>
      <xdr:blipFill>
        <a:blip xmlns:r="http://schemas.openxmlformats.org/officeDocument/2006/relationships" r:embed="rId1"/>
        <a:stretch>
          <a:fillRect/>
        </a:stretch>
      </xdr:blipFill>
      <xdr:spPr>
        <a:xfrm>
          <a:off x="257175" y="847725"/>
          <a:ext cx="5238750" cy="926643"/>
        </a:xfrm>
        <a:prstGeom prst="rect">
          <a:avLst/>
        </a:prstGeom>
      </xdr:spPr>
    </xdr:pic>
    <xdr:clientData/>
  </xdr:twoCellAnchor>
  <xdr:oneCellAnchor>
    <xdr:from>
      <xdr:col>0</xdr:col>
      <xdr:colOff>95249</xdr:colOff>
      <xdr:row>15</xdr:row>
      <xdr:rowOff>228600</xdr:rowOff>
    </xdr:from>
    <xdr:ext cx="13694833" cy="2647950"/>
    <xdr:sp macro="" textlink="">
      <xdr:nvSpPr>
        <xdr:cNvPr id="7" name="TextBox 6"/>
        <xdr:cNvSpPr txBox="1"/>
      </xdr:nvSpPr>
      <xdr:spPr>
        <a:xfrm>
          <a:off x="95249" y="3160183"/>
          <a:ext cx="13694833" cy="2647950"/>
        </a:xfrm>
        <a:prstGeom prst="rect">
          <a:avLst/>
        </a:prstGeom>
        <a:solidFill>
          <a:schemeClr val="accent1">
            <a:lumMod val="20000"/>
            <a:lumOff val="80000"/>
          </a:schemeClr>
        </a:solidFill>
        <a:ln>
          <a:noFill/>
        </a:ln>
        <a:effectLst/>
      </xdr:spPr>
      <xdr:txBody>
        <a:bodyPr vert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The information in this file from Openreach may be privileged and confidential. If you are the intended recipient the contents should not be shared with or disclosed to third parties.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If you are not the intended recipient, be aware that any disclosure, copying, distribution or use of the contents of this information is prohibited.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If you have received/accessed this file in error, please report this immediately via the preparer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The information in this file is provided in good faith and, whilst every effort is made to ensure the information is correct at the time of compilation, Openreach does not accept any liability for any errors or omissions in the information presented.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900" b="0"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rPr>
            <a:t>In Confidence - Confidential Openreach Report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100" b="1" i="1" u="none" strike="noStrike" kern="0" cap="none" spc="0" normalizeH="0" baseline="0" noProof="0">
            <a:ln>
              <a:noFill/>
            </a:ln>
            <a:solidFill>
              <a:prstClr val="white">
                <a:lumMod val="50000"/>
              </a:prstClr>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1" u="none" strike="noStrike" kern="0" cap="none" spc="0" normalizeH="0" baseline="0" noProof="0">
              <a:ln>
                <a:noFill/>
              </a:ln>
              <a:solidFill>
                <a:srgbClr val="FF0000"/>
              </a:solidFill>
              <a:effectLst/>
              <a:uLnTx/>
              <a:uFillTx/>
              <a:latin typeface="Verdana" pitchFamily="34" charset="0"/>
              <a:ea typeface="Verdana" pitchFamily="34" charset="0"/>
              <a:cs typeface="Verdana" pitchFamily="34" charset="0"/>
            </a:rPr>
            <a:t>'INTERNAL TO OPENREACH'</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100" b="1" i="1" u="none" strike="noStrike" kern="0" cap="none" spc="0" normalizeH="0" baseline="0" noProof="0">
            <a:ln>
              <a:noFill/>
            </a:ln>
            <a:solidFill>
              <a:srgbClr val="FF0000"/>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100" b="1" i="1" u="none" strike="noStrike" kern="0" cap="none" spc="0" normalizeH="0" baseline="0" noProof="0">
            <a:ln>
              <a:noFill/>
            </a:ln>
            <a:solidFill>
              <a:srgbClr val="FF0000"/>
            </a:solidFill>
            <a:effectLst/>
            <a:uLnTx/>
            <a:uFillTx/>
            <a:latin typeface="Verdana" pitchFamily="34" charset="0"/>
            <a:ea typeface="Verdana" pitchFamily="34" charset="0"/>
            <a:cs typeface="Verdana"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800" b="1" i="1" u="none" strike="noStrike" kern="0" cap="none" spc="0" normalizeH="0" baseline="0" noProof="0">
              <a:ln>
                <a:noFill/>
              </a:ln>
              <a:solidFill>
                <a:schemeClr val="tx1"/>
              </a:solidFill>
              <a:effectLst/>
              <a:uLnTx/>
              <a:uFillTx/>
              <a:latin typeface="Verdana" pitchFamily="34" charset="0"/>
              <a:ea typeface="Verdana" pitchFamily="34" charset="0"/>
              <a:cs typeface="Verdana" pitchFamily="34" charset="0"/>
            </a:rPr>
            <a:t>Designed and built by Brian Mackie</a:t>
          </a:r>
        </a:p>
      </xdr:txBody>
    </xdr:sp>
    <xdr:clientData/>
  </xdr:oneCellAnchor>
  <xdr:twoCellAnchor>
    <xdr:from>
      <xdr:col>7</xdr:col>
      <xdr:colOff>104776</xdr:colOff>
      <xdr:row>10</xdr:row>
      <xdr:rowOff>76199</xdr:rowOff>
    </xdr:from>
    <xdr:to>
      <xdr:col>9</xdr:col>
      <xdr:colOff>457200</xdr:colOff>
      <xdr:row>13</xdr:row>
      <xdr:rowOff>47624</xdr:rowOff>
    </xdr:to>
    <xdr:sp macro="" textlink="">
      <xdr:nvSpPr>
        <xdr:cNvPr id="14" name="Left Arrow 13"/>
        <xdr:cNvSpPr/>
      </xdr:nvSpPr>
      <xdr:spPr>
        <a:xfrm>
          <a:off x="4419601" y="1990724"/>
          <a:ext cx="1266824" cy="552450"/>
        </a:xfrm>
        <a:prstGeom prst="leftArrow">
          <a:avLst>
            <a:gd name="adj1" fmla="val 39286"/>
            <a:gd name="adj2" fmla="val 1035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400049</xdr:colOff>
      <xdr:row>0</xdr:row>
      <xdr:rowOff>152400</xdr:rowOff>
    </xdr:from>
    <xdr:to>
      <xdr:col>12</xdr:col>
      <xdr:colOff>371474</xdr:colOff>
      <xdr:row>9</xdr:row>
      <xdr:rowOff>104775</xdr:rowOff>
    </xdr:to>
    <xdr:sp macro="" textlink="">
      <xdr:nvSpPr>
        <xdr:cNvPr id="15" name="Up Arrow 14"/>
        <xdr:cNvSpPr/>
      </xdr:nvSpPr>
      <xdr:spPr>
        <a:xfrm>
          <a:off x="7238999" y="152400"/>
          <a:ext cx="581025" cy="1666875"/>
        </a:xfrm>
        <a:prstGeom prst="upArrow">
          <a:avLst>
            <a:gd name="adj1" fmla="val 35000"/>
            <a:gd name="adj2" fmla="val 13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523876</xdr:colOff>
      <xdr:row>14</xdr:row>
      <xdr:rowOff>142876</xdr:rowOff>
    </xdr:from>
    <xdr:to>
      <xdr:col>6</xdr:col>
      <xdr:colOff>752475</xdr:colOff>
      <xdr:row>15</xdr:row>
      <xdr:rowOff>171451</xdr:rowOff>
    </xdr:to>
    <xdr:sp macro="[0]!About" textlink="">
      <xdr:nvSpPr>
        <xdr:cNvPr id="16" name="Rectangle 15"/>
        <xdr:cNvSpPr/>
      </xdr:nvSpPr>
      <xdr:spPr>
        <a:xfrm>
          <a:off x="3467101" y="2828926"/>
          <a:ext cx="838199" cy="266700"/>
        </a:xfrm>
        <a:prstGeom prst="rect">
          <a:avLst/>
        </a:prstGeom>
        <a:solidFill>
          <a:srgbClr val="FF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Next</a:t>
          </a:r>
        </a:p>
      </xdr:txBody>
    </xdr:sp>
    <xdr:clientData/>
  </xdr:twoCellAnchor>
  <xdr:twoCellAnchor editAs="oneCell">
    <xdr:from>
      <xdr:col>0</xdr:col>
      <xdr:colOff>95250</xdr:colOff>
      <xdr:row>14</xdr:row>
      <xdr:rowOff>47625</xdr:rowOff>
    </xdr:from>
    <xdr:to>
      <xdr:col>3</xdr:col>
      <xdr:colOff>171450</xdr:colOff>
      <xdr:row>15</xdr:row>
      <xdr:rowOff>171450</xdr:rowOff>
    </xdr:to>
    <xdr:pic>
      <xdr:nvPicPr>
        <xdr:cNvPr id="8"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2733675"/>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104774</xdr:colOff>
      <xdr:row>0</xdr:row>
      <xdr:rowOff>142875</xdr:rowOff>
    </xdr:from>
    <xdr:to>
      <xdr:col>11</xdr:col>
      <xdr:colOff>152399</xdr:colOff>
      <xdr:row>5</xdr:row>
      <xdr:rowOff>0</xdr:rowOff>
    </xdr:to>
    <xdr:sp macro="" textlink="">
      <xdr:nvSpPr>
        <xdr:cNvPr id="2" name="TextBox 1"/>
        <xdr:cNvSpPr txBox="1"/>
      </xdr:nvSpPr>
      <xdr:spPr>
        <a:xfrm>
          <a:off x="104774" y="142875"/>
          <a:ext cx="6810375" cy="80962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000" b="1" u="sng">
              <a:solidFill>
                <a:schemeClr val="accent4">
                  <a:lumMod val="50000"/>
                </a:schemeClr>
              </a:solidFill>
            </a:rPr>
            <a:t>Engineer Development Journey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0</xdr:row>
      <xdr:rowOff>152400</xdr:rowOff>
    </xdr:from>
    <xdr:to>
      <xdr:col>20</xdr:col>
      <xdr:colOff>447674</xdr:colOff>
      <xdr:row>25</xdr:row>
      <xdr:rowOff>161925</xdr:rowOff>
    </xdr:to>
    <xdr:sp macro="" textlink="">
      <xdr:nvSpPr>
        <xdr:cNvPr id="2" name="TextBox 1"/>
        <xdr:cNvSpPr txBox="1"/>
      </xdr:nvSpPr>
      <xdr:spPr>
        <a:xfrm>
          <a:off x="114299" y="152400"/>
          <a:ext cx="12525375" cy="4772025"/>
        </a:xfrm>
        <a:prstGeom prst="rect">
          <a:avLst/>
        </a:prstGeom>
        <a:solidFill>
          <a:srgbClr val="FFFFCC"/>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u="sng"/>
            <a:t>Welcome to the Engineer Development Journey</a:t>
          </a:r>
          <a:r>
            <a:rPr lang="en-GB" sz="1100"/>
            <a:t>.</a:t>
          </a:r>
        </a:p>
        <a:p>
          <a:endParaRPr lang="en-GB" sz="1100"/>
        </a:p>
        <a:p>
          <a:r>
            <a:rPr lang="en-GB" sz="1100"/>
            <a:t>This program has been built to allow you to assess your own skills and skill gaps, as you work through the modules</a:t>
          </a:r>
          <a:r>
            <a:rPr lang="en-GB" sz="1100" baseline="0"/>
            <a:t> on this program you will be given a score based on how well you do with a rating.  The ratings are as follows</a:t>
          </a:r>
        </a:p>
        <a:p>
          <a:endParaRPr lang="en-GB" sz="1100" baseline="0"/>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Expert</a:t>
          </a:r>
          <a:r>
            <a:rPr lang="en-GB"/>
            <a:t> - Meaning, </a:t>
          </a:r>
          <a:r>
            <a:rPr lang="en-GB" sz="1100" b="0" i="0" u="none" strike="noStrike">
              <a:solidFill>
                <a:schemeClr val="dk1"/>
              </a:solidFill>
              <a:effectLst/>
              <a:latin typeface="+mn-lt"/>
              <a:ea typeface="+mn-ea"/>
              <a:cs typeface="+mn-cs"/>
            </a:rPr>
            <a:t>You have achieved top marks or as near as required and shown a good understanding of the topic assessed.  </a:t>
          </a:r>
        </a:p>
        <a:p>
          <a:r>
            <a:rPr lang="en-GB" sz="1100" b="0" i="0" u="none" strike="noStrike" baseline="0">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Advanced</a:t>
          </a:r>
          <a:r>
            <a:rPr lang="en-GB"/>
            <a:t> - Meaning, </a:t>
          </a:r>
          <a:r>
            <a:rPr lang="en-GB" sz="1100" b="0" i="0" u="none" strike="noStrike">
              <a:solidFill>
                <a:schemeClr val="dk1"/>
              </a:solidFill>
              <a:effectLst/>
              <a:latin typeface="+mn-lt"/>
              <a:ea typeface="+mn-ea"/>
              <a:cs typeface="+mn-cs"/>
            </a:rPr>
            <a:t>You have achieved a very reasonable score and should be proud of your achievement, with a little more focus around this area you should be able to achieve full marks.</a:t>
          </a:r>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Competent - </a:t>
          </a:r>
          <a:r>
            <a:rPr lang="en-GB" sz="1100" b="0" i="0" u="none" strike="noStrike">
              <a:solidFill>
                <a:schemeClr val="dk1"/>
              </a:solidFill>
              <a:effectLst/>
              <a:latin typeface="+mn-lt"/>
              <a:ea typeface="+mn-ea"/>
              <a:cs typeface="+mn-cs"/>
            </a:rPr>
            <a:t>You have shown some evidence of this part of the assessment but some more work is required on your knowledge and understanding of this subject.  </a:t>
          </a:r>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Intermediate -</a:t>
          </a:r>
          <a:r>
            <a:rPr lang="en-GB"/>
            <a:t> </a:t>
          </a:r>
          <a:r>
            <a:rPr lang="en-GB" sz="1100" b="0" i="0" u="none" strike="noStrike">
              <a:solidFill>
                <a:schemeClr val="dk1"/>
              </a:solidFill>
              <a:effectLst/>
              <a:latin typeface="+mn-lt"/>
              <a:ea typeface="+mn-ea"/>
              <a:cs typeface="+mn-cs"/>
            </a:rPr>
            <a:t>You have scored very low on this area, a significant amount of time should be planned on you developing this area.</a:t>
          </a:r>
          <a:r>
            <a:rPr lang="en-GB"/>
            <a:t> </a:t>
          </a:r>
        </a:p>
        <a:p>
          <a:r>
            <a:rPr lang="en-GB" sz="1100" b="0" i="0" u="none" strike="noStrike">
              <a:solidFill>
                <a:schemeClr val="dk1"/>
              </a:solidFill>
              <a:effectLst/>
              <a:latin typeface="+mn-lt"/>
              <a:ea typeface="+mn-ea"/>
              <a:cs typeface="+mn-cs"/>
            </a:rPr>
            <a:t>	</a:t>
          </a:r>
          <a:r>
            <a:rPr lang="en-GB" sz="1100" b="1" i="0" u="none" strike="noStrike">
              <a:solidFill>
                <a:schemeClr val="dk1"/>
              </a:solidFill>
              <a:effectLst/>
              <a:latin typeface="+mn-lt"/>
              <a:ea typeface="+mn-ea"/>
              <a:cs typeface="+mn-cs"/>
            </a:rPr>
            <a:t>Novice -</a:t>
          </a:r>
          <a:r>
            <a:rPr lang="en-GB"/>
            <a:t> </a:t>
          </a:r>
          <a:r>
            <a:rPr lang="en-GB" sz="1100" b="0" i="0" u="none" strike="noStrike">
              <a:solidFill>
                <a:schemeClr val="dk1"/>
              </a:solidFill>
              <a:effectLst/>
              <a:latin typeface="+mn-lt"/>
              <a:ea typeface="+mn-ea"/>
              <a:cs typeface="+mn-cs"/>
            </a:rPr>
            <a:t>You have shown no knowledge or very little knowledge of this area suggesting you need some training and development.</a:t>
          </a:r>
        </a:p>
        <a:p>
          <a:endParaRPr lang="en-GB" sz="1100" b="0" i="0" u="none" strike="noStrike">
            <a:solidFill>
              <a:schemeClr val="dk1"/>
            </a:solidFill>
            <a:effectLst/>
            <a:latin typeface="+mn-lt"/>
            <a:ea typeface="+mn-ea"/>
            <a:cs typeface="+mn-cs"/>
          </a:endParaRPr>
        </a:p>
        <a:p>
          <a:r>
            <a:rPr lang="en-GB" sz="1100" b="0" i="0" u="none" strike="noStrike">
              <a:solidFill>
                <a:schemeClr val="dk1"/>
              </a:solidFill>
              <a:effectLst/>
              <a:latin typeface="+mn-lt"/>
              <a:ea typeface="+mn-ea"/>
              <a:cs typeface="+mn-cs"/>
            </a:rPr>
            <a:t>You will first be taken to the Engineer Self Assessment area where you will have the chance to rate</a:t>
          </a:r>
          <a:r>
            <a:rPr lang="en-GB" sz="1100" b="0" i="0" u="none" strike="noStrike" baseline="0">
              <a:solidFill>
                <a:schemeClr val="dk1"/>
              </a:solidFill>
              <a:effectLst/>
              <a:latin typeface="+mn-lt"/>
              <a:ea typeface="+mn-ea"/>
              <a:cs typeface="+mn-cs"/>
            </a:rPr>
            <a:t> how you feel yourself about your own skills and knowledge.   Complete the sections you are skilled to do.  Each Skill has its own quiz as follows</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	</a:t>
          </a:r>
          <a:r>
            <a:rPr lang="en-GB" sz="1100" b="1" i="0" u="none" strike="noStrike" baseline="0">
              <a:solidFill>
                <a:schemeClr val="dk1"/>
              </a:solidFill>
              <a:effectLst/>
              <a:latin typeface="+mn-lt"/>
              <a:ea typeface="+mn-ea"/>
              <a:cs typeface="+mn-cs"/>
            </a:rPr>
            <a:t>HHT, Broadband, CAL/OMI, UG, Iphone </a:t>
          </a:r>
          <a:r>
            <a:rPr lang="en-GB" sz="1100" b="0" i="0" u="none" strike="noStrike" baseline="0">
              <a:solidFill>
                <a:schemeClr val="dk1"/>
              </a:solidFill>
              <a:effectLst/>
              <a:latin typeface="+mn-lt"/>
              <a:ea typeface="+mn-ea"/>
              <a:cs typeface="+mn-cs"/>
            </a:rPr>
            <a:t>and</a:t>
          </a:r>
          <a:r>
            <a:rPr lang="en-GB" sz="1100" b="1" i="0" u="none" strike="noStrike" baseline="0">
              <a:solidFill>
                <a:schemeClr val="dk1"/>
              </a:solidFill>
              <a:effectLst/>
              <a:latin typeface="+mn-lt"/>
              <a:ea typeface="+mn-ea"/>
              <a:cs typeface="+mn-cs"/>
            </a:rPr>
            <a:t> Frames</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You can complete as many sections as you need too and can come back to this if you don't get time to do in one go.  This is your program to own, complete the sections and then you can discuss with your manager how you have done, you can decide what help you feel you need.  Whether it be coaching support, media store, CBT's or an informal chat with your manager to get yourself up to speed.  We have included a PDP section at the end that you can complete on your own or with your manager as you see fit to help you improve your skills.  As you complete the questions try not to guess at any answers, if you do not know the answer leave it blank.  when you have completed you will be given the correct answer so you can take learning from it.</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On the CAL/OMI, UG and Frames sections there are some questions around Safety.  Its important that if you get any of these questions wrong and do not score 100% on the safety parts that you discuss this immediately with your manager to ensure that they can check with you for understanding and then complete any relevant safety checks with you.</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On completion off the modules you wish to do, move to the 'results' tab - 	          to view how you have done against each section.  You can ignore scores for sections you are not skilled on and hence would not have completed.</a:t>
          </a:r>
          <a:endParaRPr lang="en-GB"/>
        </a:p>
      </xdr:txBody>
    </xdr:sp>
    <xdr:clientData/>
  </xdr:twoCellAnchor>
  <xdr:twoCellAnchor editAs="oneCell">
    <xdr:from>
      <xdr:col>18</xdr:col>
      <xdr:colOff>161924</xdr:colOff>
      <xdr:row>0</xdr:row>
      <xdr:rowOff>95250</xdr:rowOff>
    </xdr:from>
    <xdr:to>
      <xdr:col>20</xdr:col>
      <xdr:colOff>438149</xdr:colOff>
      <xdr:row>2</xdr:row>
      <xdr:rowOff>76200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34724" y="95250"/>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25</xdr:row>
      <xdr:rowOff>57150</xdr:rowOff>
    </xdr:from>
    <xdr:to>
      <xdr:col>11</xdr:col>
      <xdr:colOff>342900</xdr:colOff>
      <xdr:row>26</xdr:row>
      <xdr:rowOff>133350</xdr:rowOff>
    </xdr:to>
    <xdr:sp macro="[0]!Show" textlink="">
      <xdr:nvSpPr>
        <xdr:cNvPr id="5" name="Rectangle 4"/>
        <xdr:cNvSpPr/>
      </xdr:nvSpPr>
      <xdr:spPr>
        <a:xfrm>
          <a:off x="5562600" y="4819650"/>
          <a:ext cx="1485900" cy="266700"/>
        </a:xfrm>
        <a:prstGeom prst="rect">
          <a:avLst/>
        </a:prstGeom>
        <a:solidFill>
          <a:srgbClr val="7030A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Click to Begin</a:t>
          </a:r>
        </a:p>
      </xdr:txBody>
    </xdr:sp>
    <xdr:clientData/>
  </xdr:twoCellAnchor>
  <xdr:twoCellAnchor editAs="oneCell">
    <xdr:from>
      <xdr:col>7</xdr:col>
      <xdr:colOff>171449</xdr:colOff>
      <xdr:row>23</xdr:row>
      <xdr:rowOff>38100</xdr:rowOff>
    </xdr:from>
    <xdr:to>
      <xdr:col>8</xdr:col>
      <xdr:colOff>133278</xdr:colOff>
      <xdr:row>24</xdr:row>
      <xdr:rowOff>28552</xdr:rowOff>
    </xdr:to>
    <xdr:pic>
      <xdr:nvPicPr>
        <xdr:cNvPr id="6" name="Picture 5"/>
        <xdr:cNvPicPr>
          <a:picLocks noChangeAspect="1"/>
        </xdr:cNvPicPr>
      </xdr:nvPicPr>
      <xdr:blipFill>
        <a:blip xmlns:r="http://schemas.openxmlformats.org/officeDocument/2006/relationships" r:embed="rId2"/>
        <a:stretch>
          <a:fillRect/>
        </a:stretch>
      </xdr:blipFill>
      <xdr:spPr>
        <a:xfrm>
          <a:off x="4438649" y="4419600"/>
          <a:ext cx="571429" cy="1809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331485</xdr:colOff>
      <xdr:row>0</xdr:row>
      <xdr:rowOff>134327</xdr:rowOff>
    </xdr:from>
    <xdr:to>
      <xdr:col>3</xdr:col>
      <xdr:colOff>567489</xdr:colOff>
      <xdr:row>2</xdr:row>
      <xdr:rowOff>621797</xdr:rowOff>
    </xdr:to>
    <xdr:pic>
      <xdr:nvPicPr>
        <xdr:cNvPr id="4" name="Picture 3"/>
        <xdr:cNvPicPr>
          <a:picLocks noChangeAspect="1"/>
        </xdr:cNvPicPr>
      </xdr:nvPicPr>
      <xdr:blipFill>
        <a:blip xmlns:r="http://schemas.openxmlformats.org/officeDocument/2006/relationships" r:embed="rId1"/>
        <a:stretch>
          <a:fillRect/>
        </a:stretch>
      </xdr:blipFill>
      <xdr:spPr>
        <a:xfrm>
          <a:off x="331485" y="134327"/>
          <a:ext cx="4924421" cy="868470"/>
        </a:xfrm>
        <a:prstGeom prst="rect">
          <a:avLst/>
        </a:prstGeom>
      </xdr:spPr>
    </xdr:pic>
    <xdr:clientData/>
  </xdr:twoCellAnchor>
  <xdr:twoCellAnchor>
    <xdr:from>
      <xdr:col>3</xdr:col>
      <xdr:colOff>205618</xdr:colOff>
      <xdr:row>17</xdr:row>
      <xdr:rowOff>338667</xdr:rowOff>
    </xdr:from>
    <xdr:to>
      <xdr:col>9</xdr:col>
      <xdr:colOff>201082</xdr:colOff>
      <xdr:row>35</xdr:row>
      <xdr:rowOff>624417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42333</xdr:colOff>
      <xdr:row>0</xdr:row>
      <xdr:rowOff>137583</xdr:rowOff>
    </xdr:from>
    <xdr:to>
      <xdr:col>6</xdr:col>
      <xdr:colOff>1537758</xdr:colOff>
      <xdr:row>2</xdr:row>
      <xdr:rowOff>118533</xdr:rowOff>
    </xdr:to>
    <xdr:pic>
      <xdr:nvPicPr>
        <xdr:cNvPr id="12" name="Picture 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66250" y="137583"/>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920751</xdr:colOff>
      <xdr:row>23</xdr:row>
      <xdr:rowOff>501650</xdr:rowOff>
    </xdr:from>
    <xdr:to>
      <xdr:col>6</xdr:col>
      <xdr:colOff>571500</xdr:colOff>
      <xdr:row>25</xdr:row>
      <xdr:rowOff>211667</xdr:rowOff>
    </xdr:to>
    <xdr:sp macro="" textlink="">
      <xdr:nvSpPr>
        <xdr:cNvPr id="13" name="TextBox 12"/>
        <xdr:cNvSpPr txBox="1"/>
      </xdr:nvSpPr>
      <xdr:spPr>
        <a:xfrm>
          <a:off x="7154334" y="11846983"/>
          <a:ext cx="2741083" cy="853017"/>
        </a:xfrm>
        <a:prstGeom prst="rect">
          <a:avLst/>
        </a:prstGeom>
        <a:solidFill>
          <a:schemeClr val="accent4">
            <a:lumMod val="40000"/>
            <a:lumOff val="60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This Graph will show you how you have rated yourself against each skill, just to give you a visual representation on how you have selected each category</a:t>
          </a:r>
        </a:p>
      </xdr:txBody>
    </xdr:sp>
    <xdr:clientData/>
  </xdr:twoCellAnchor>
  <xdr:twoCellAnchor>
    <xdr:from>
      <xdr:col>4</xdr:col>
      <xdr:colOff>476250</xdr:colOff>
      <xdr:row>11</xdr:row>
      <xdr:rowOff>465668</xdr:rowOff>
    </xdr:from>
    <xdr:to>
      <xdr:col>5</xdr:col>
      <xdr:colOff>159807</xdr:colOff>
      <xdr:row>12</xdr:row>
      <xdr:rowOff>252943</xdr:rowOff>
    </xdr:to>
    <xdr:sp macro="[0]!Complete" textlink="">
      <xdr:nvSpPr>
        <xdr:cNvPr id="17" name="Rectangle 16">
          <a:hlinkClick xmlns:r="http://schemas.openxmlformats.org/officeDocument/2006/relationships" r:id="rId4"/>
        </xdr:cNvPr>
        <xdr:cNvSpPr/>
      </xdr:nvSpPr>
      <xdr:spPr>
        <a:xfrm>
          <a:off x="6709833" y="5969001"/>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HHT </a:t>
          </a:r>
          <a:r>
            <a:rPr lang="en-GB" sz="1200" b="1" baseline="0">
              <a:solidFill>
                <a:schemeClr val="lt1"/>
              </a:solidFill>
              <a:latin typeface="+mn-lt"/>
              <a:ea typeface="+mn-ea"/>
              <a:cs typeface="+mn-cs"/>
            </a:rPr>
            <a:t>Quiz</a:t>
          </a:r>
          <a:endParaRPr lang="en-GB" sz="1200" b="1">
            <a:solidFill>
              <a:schemeClr val="lt1"/>
            </a:solidFill>
            <a:latin typeface="+mn-lt"/>
            <a:ea typeface="+mn-ea"/>
            <a:cs typeface="+mn-cs"/>
          </a:endParaRPr>
        </a:p>
      </xdr:txBody>
    </xdr:sp>
    <xdr:clientData/>
  </xdr:twoCellAnchor>
  <xdr:twoCellAnchor>
    <xdr:from>
      <xdr:col>4</xdr:col>
      <xdr:colOff>476250</xdr:colOff>
      <xdr:row>12</xdr:row>
      <xdr:rowOff>349251</xdr:rowOff>
    </xdr:from>
    <xdr:to>
      <xdr:col>5</xdr:col>
      <xdr:colOff>159807</xdr:colOff>
      <xdr:row>13</xdr:row>
      <xdr:rowOff>136526</xdr:rowOff>
    </xdr:to>
    <xdr:sp macro="[0]!Complete" textlink="">
      <xdr:nvSpPr>
        <xdr:cNvPr id="18" name="Rectangle 17">
          <a:hlinkClick xmlns:r="http://schemas.openxmlformats.org/officeDocument/2006/relationships" r:id="rId5"/>
        </xdr:cNvPr>
        <xdr:cNvSpPr/>
      </xdr:nvSpPr>
      <xdr:spPr>
        <a:xfrm>
          <a:off x="6709833" y="6360584"/>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Broadband Quiz</a:t>
          </a:r>
          <a:endParaRPr lang="en-GB" sz="1200" b="1">
            <a:solidFill>
              <a:schemeClr val="lt1"/>
            </a:solidFill>
            <a:latin typeface="+mn-lt"/>
            <a:ea typeface="+mn-ea"/>
            <a:cs typeface="+mn-cs"/>
          </a:endParaRPr>
        </a:p>
      </xdr:txBody>
    </xdr:sp>
    <xdr:clientData/>
  </xdr:twoCellAnchor>
  <xdr:twoCellAnchor>
    <xdr:from>
      <xdr:col>4</xdr:col>
      <xdr:colOff>486833</xdr:colOff>
      <xdr:row>13</xdr:row>
      <xdr:rowOff>232835</xdr:rowOff>
    </xdr:from>
    <xdr:to>
      <xdr:col>5</xdr:col>
      <xdr:colOff>170390</xdr:colOff>
      <xdr:row>14</xdr:row>
      <xdr:rowOff>20110</xdr:rowOff>
    </xdr:to>
    <xdr:sp macro="[0]!Complete" textlink="">
      <xdr:nvSpPr>
        <xdr:cNvPr id="19" name="Rectangle 18">
          <a:hlinkClick xmlns:r="http://schemas.openxmlformats.org/officeDocument/2006/relationships" r:id="rId6"/>
        </xdr:cNvPr>
        <xdr:cNvSpPr/>
      </xdr:nvSpPr>
      <xdr:spPr>
        <a:xfrm>
          <a:off x="6720416" y="6752168"/>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CAL</a:t>
          </a:r>
          <a:r>
            <a:rPr lang="en-GB" sz="1200" b="1" baseline="0">
              <a:solidFill>
                <a:schemeClr val="lt1"/>
              </a:solidFill>
              <a:latin typeface="+mn-lt"/>
              <a:ea typeface="+mn-ea"/>
              <a:cs typeface="+mn-cs"/>
            </a:rPr>
            <a:t> / OMI Quiz</a:t>
          </a:r>
          <a:endParaRPr lang="en-GB" sz="1200" b="1">
            <a:solidFill>
              <a:schemeClr val="lt1"/>
            </a:solidFill>
            <a:latin typeface="+mn-lt"/>
            <a:ea typeface="+mn-ea"/>
            <a:cs typeface="+mn-cs"/>
          </a:endParaRPr>
        </a:p>
      </xdr:txBody>
    </xdr:sp>
    <xdr:clientData/>
  </xdr:twoCellAnchor>
  <xdr:twoCellAnchor>
    <xdr:from>
      <xdr:col>4</xdr:col>
      <xdr:colOff>486833</xdr:colOff>
      <xdr:row>14</xdr:row>
      <xdr:rowOff>116418</xdr:rowOff>
    </xdr:from>
    <xdr:to>
      <xdr:col>5</xdr:col>
      <xdr:colOff>170390</xdr:colOff>
      <xdr:row>14</xdr:row>
      <xdr:rowOff>411693</xdr:rowOff>
    </xdr:to>
    <xdr:sp macro="[0]!Complete" textlink="">
      <xdr:nvSpPr>
        <xdr:cNvPr id="20" name="Rectangle 19">
          <a:hlinkClick xmlns:r="http://schemas.openxmlformats.org/officeDocument/2006/relationships" r:id="rId7"/>
        </xdr:cNvPr>
        <xdr:cNvSpPr/>
      </xdr:nvSpPr>
      <xdr:spPr>
        <a:xfrm>
          <a:off x="6720416" y="7143751"/>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UG Quiz</a:t>
          </a:r>
          <a:endParaRPr lang="en-GB" sz="1200" b="1">
            <a:solidFill>
              <a:schemeClr val="lt1"/>
            </a:solidFill>
            <a:latin typeface="+mn-lt"/>
            <a:ea typeface="+mn-ea"/>
            <a:cs typeface="+mn-cs"/>
          </a:endParaRPr>
        </a:p>
      </xdr:txBody>
    </xdr:sp>
    <xdr:clientData/>
  </xdr:twoCellAnchor>
  <xdr:twoCellAnchor>
    <xdr:from>
      <xdr:col>4</xdr:col>
      <xdr:colOff>486834</xdr:colOff>
      <xdr:row>15</xdr:row>
      <xdr:rowOff>2</xdr:rowOff>
    </xdr:from>
    <xdr:to>
      <xdr:col>5</xdr:col>
      <xdr:colOff>170391</xdr:colOff>
      <xdr:row>15</xdr:row>
      <xdr:rowOff>295277</xdr:rowOff>
    </xdr:to>
    <xdr:sp macro="[0]!Complete" textlink="">
      <xdr:nvSpPr>
        <xdr:cNvPr id="21" name="Rectangle 20">
          <a:hlinkClick xmlns:r="http://schemas.openxmlformats.org/officeDocument/2006/relationships" r:id="rId8"/>
        </xdr:cNvPr>
        <xdr:cNvSpPr/>
      </xdr:nvSpPr>
      <xdr:spPr>
        <a:xfrm>
          <a:off x="6720417" y="7535335"/>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Iphone Quiz</a:t>
          </a:r>
          <a:endParaRPr lang="en-GB" sz="1200" b="1">
            <a:solidFill>
              <a:schemeClr val="lt1"/>
            </a:solidFill>
            <a:latin typeface="+mn-lt"/>
            <a:ea typeface="+mn-ea"/>
            <a:cs typeface="+mn-cs"/>
          </a:endParaRPr>
        </a:p>
      </xdr:txBody>
    </xdr:sp>
    <xdr:clientData/>
  </xdr:twoCellAnchor>
  <xdr:twoCellAnchor>
    <xdr:from>
      <xdr:col>4</xdr:col>
      <xdr:colOff>497416</xdr:colOff>
      <xdr:row>15</xdr:row>
      <xdr:rowOff>391585</xdr:rowOff>
    </xdr:from>
    <xdr:to>
      <xdr:col>5</xdr:col>
      <xdr:colOff>180973</xdr:colOff>
      <xdr:row>16</xdr:row>
      <xdr:rowOff>178860</xdr:rowOff>
    </xdr:to>
    <xdr:sp macro="[0]!Complete" textlink="">
      <xdr:nvSpPr>
        <xdr:cNvPr id="22" name="Rectangle 21">
          <a:hlinkClick xmlns:r="http://schemas.openxmlformats.org/officeDocument/2006/relationships" r:id="rId9"/>
        </xdr:cNvPr>
        <xdr:cNvSpPr/>
      </xdr:nvSpPr>
      <xdr:spPr>
        <a:xfrm>
          <a:off x="6730999" y="7926918"/>
          <a:ext cx="12287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baseline="0">
              <a:solidFill>
                <a:schemeClr val="lt1"/>
              </a:solidFill>
              <a:latin typeface="+mn-lt"/>
              <a:ea typeface="+mn-ea"/>
              <a:cs typeface="+mn-cs"/>
            </a:rPr>
            <a:t>Frames Quiz</a:t>
          </a:r>
          <a:endParaRPr lang="en-GB" sz="1200" b="1">
            <a:solidFill>
              <a:schemeClr val="lt1"/>
            </a:solidFill>
            <a:latin typeface="+mn-lt"/>
            <a:ea typeface="+mn-ea"/>
            <a:cs typeface="+mn-cs"/>
          </a:endParaRPr>
        </a:p>
      </xdr:txBody>
    </xdr:sp>
    <xdr:clientData/>
  </xdr:twoCellAnchor>
  <xdr:twoCellAnchor>
    <xdr:from>
      <xdr:col>4</xdr:col>
      <xdr:colOff>497416</xdr:colOff>
      <xdr:row>17</xdr:row>
      <xdr:rowOff>10585</xdr:rowOff>
    </xdr:from>
    <xdr:to>
      <xdr:col>5</xdr:col>
      <xdr:colOff>180973</xdr:colOff>
      <xdr:row>17</xdr:row>
      <xdr:rowOff>305860</xdr:rowOff>
    </xdr:to>
    <xdr:sp macro="[0]!Complete" textlink="">
      <xdr:nvSpPr>
        <xdr:cNvPr id="23" name="Rectangle 22">
          <a:hlinkClick xmlns:r="http://schemas.openxmlformats.org/officeDocument/2006/relationships" r:id="rId4"/>
        </xdr:cNvPr>
        <xdr:cNvSpPr/>
      </xdr:nvSpPr>
      <xdr:spPr>
        <a:xfrm>
          <a:off x="6730999" y="8561918"/>
          <a:ext cx="1228724" cy="295275"/>
        </a:xfrm>
        <a:prstGeom prst="rect">
          <a:avLst/>
        </a:prstGeom>
        <a:solidFill>
          <a:srgbClr val="7030A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PDP</a:t>
          </a:r>
        </a:p>
      </xdr:txBody>
    </xdr:sp>
    <xdr:clientData/>
  </xdr:twoCellAnchor>
  <xdr:twoCellAnchor>
    <xdr:from>
      <xdr:col>4</xdr:col>
      <xdr:colOff>95250</xdr:colOff>
      <xdr:row>5</xdr:row>
      <xdr:rowOff>476250</xdr:rowOff>
    </xdr:from>
    <xdr:to>
      <xdr:col>5</xdr:col>
      <xdr:colOff>21167</xdr:colOff>
      <xdr:row>5</xdr:row>
      <xdr:rowOff>486834</xdr:rowOff>
    </xdr:to>
    <xdr:cxnSp macro="">
      <xdr:nvCxnSpPr>
        <xdr:cNvPr id="10" name="Straight Arrow Connector 9"/>
        <xdr:cNvCxnSpPr/>
      </xdr:nvCxnSpPr>
      <xdr:spPr>
        <a:xfrm flipH="1" flipV="1">
          <a:off x="6328833" y="2995083"/>
          <a:ext cx="1471084" cy="105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814917</xdr:colOff>
      <xdr:row>3</xdr:row>
      <xdr:rowOff>455083</xdr:rowOff>
    </xdr:from>
    <xdr:to>
      <xdr:col>11</xdr:col>
      <xdr:colOff>529166</xdr:colOff>
      <xdr:row>8</xdr:row>
      <xdr:rowOff>529166</xdr:rowOff>
    </xdr:to>
    <xdr:sp macro="" textlink="">
      <xdr:nvSpPr>
        <xdr:cNvPr id="8" name="TextBox 7"/>
        <xdr:cNvSpPr txBox="1"/>
      </xdr:nvSpPr>
      <xdr:spPr>
        <a:xfrm>
          <a:off x="7048500" y="1608666"/>
          <a:ext cx="6805083" cy="3153833"/>
        </a:xfrm>
        <a:prstGeom prst="rect">
          <a:avLst/>
        </a:prstGeom>
        <a:solidFill>
          <a:schemeClr val="accent4">
            <a:lumMod val="40000"/>
            <a:lumOff val="60000"/>
          </a:scheme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t>Please complete all Boxes in Yellow before moving onto the quiz</a:t>
          </a:r>
          <a:r>
            <a:rPr lang="en-GB" sz="2800" baseline="0"/>
            <a:t> sections.</a:t>
          </a:r>
        </a:p>
        <a:p>
          <a:endParaRPr lang="en-GB" sz="2800" baseline="0"/>
        </a:p>
        <a:p>
          <a:r>
            <a:rPr lang="en-GB" sz="2800" baseline="0"/>
            <a:t>The notes section at the bottom of this page is for you record anything you like that you may wish to remind yourself about or discuss with your manager.</a:t>
          </a:r>
          <a:endParaRPr lang="en-GB" sz="28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2876551</xdr:colOff>
      <xdr:row>137</xdr:row>
      <xdr:rowOff>133350</xdr:rowOff>
    </xdr:from>
    <xdr:to>
      <xdr:col>3</xdr:col>
      <xdr:colOff>3914775</xdr:colOff>
      <xdr:row>139</xdr:row>
      <xdr:rowOff>47625</xdr:rowOff>
    </xdr:to>
    <xdr:sp macro="[0]!Complete" textlink="">
      <xdr:nvSpPr>
        <xdr:cNvPr id="3" name="Rectangle 2"/>
        <xdr:cNvSpPr/>
      </xdr:nvSpPr>
      <xdr:spPr>
        <a:xfrm>
          <a:off x="3533776" y="2788920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1447799</xdr:colOff>
      <xdr:row>0</xdr:row>
      <xdr:rowOff>38100</xdr:rowOff>
    </xdr:from>
    <xdr:to>
      <xdr:col>7</xdr:col>
      <xdr:colOff>3190874</xdr:colOff>
      <xdr:row>4</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6067424</xdr:colOff>
      <xdr:row>5</xdr:row>
      <xdr:rowOff>19050</xdr:rowOff>
    </xdr:from>
    <xdr:to>
      <xdr:col>4</xdr:col>
      <xdr:colOff>495298</xdr:colOff>
      <xdr:row>6</xdr:row>
      <xdr:rowOff>123825</xdr:rowOff>
    </xdr:to>
    <xdr:sp macro="[0]!Complete" textlink="">
      <xdr:nvSpPr>
        <xdr:cNvPr id="5" name="Rectangle 4">
          <a:hlinkClick xmlns:r="http://schemas.openxmlformats.org/officeDocument/2006/relationships" r:id="rId2"/>
        </xdr:cNvPr>
        <xdr:cNvSpPr/>
      </xdr:nvSpPr>
      <xdr:spPr>
        <a:xfrm>
          <a:off x="6724649" y="1657350"/>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2800351</xdr:colOff>
      <xdr:row>176</xdr:row>
      <xdr:rowOff>104775</xdr:rowOff>
    </xdr:from>
    <xdr:to>
      <xdr:col>3</xdr:col>
      <xdr:colOff>3838575</xdr:colOff>
      <xdr:row>178</xdr:row>
      <xdr:rowOff>19050</xdr:rowOff>
    </xdr:to>
    <xdr:sp macro="[0]!Complete" textlink="">
      <xdr:nvSpPr>
        <xdr:cNvPr id="2" name="Rectangle 1"/>
        <xdr:cNvSpPr/>
      </xdr:nvSpPr>
      <xdr:spPr>
        <a:xfrm>
          <a:off x="3457576" y="3549015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1562099</xdr:colOff>
      <xdr:row>0</xdr:row>
      <xdr:rowOff>0</xdr:rowOff>
    </xdr:from>
    <xdr:to>
      <xdr:col>7</xdr:col>
      <xdr:colOff>3038474</xdr:colOff>
      <xdr:row>4</xdr:row>
      <xdr:rowOff>171451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6096000</xdr:colOff>
      <xdr:row>5</xdr:row>
      <xdr:rowOff>9525</xdr:rowOff>
    </xdr:from>
    <xdr:to>
      <xdr:col>4</xdr:col>
      <xdr:colOff>457199</xdr:colOff>
      <xdr:row>6</xdr:row>
      <xdr:rowOff>114300</xdr:rowOff>
    </xdr:to>
    <xdr:sp macro="[0]!Complete" textlink="">
      <xdr:nvSpPr>
        <xdr:cNvPr id="5" name="Rectangle 4">
          <a:hlinkClick xmlns:r="http://schemas.openxmlformats.org/officeDocument/2006/relationships" r:id="rId2"/>
        </xdr:cNvPr>
        <xdr:cNvSpPr/>
      </xdr:nvSpPr>
      <xdr:spPr>
        <a:xfrm>
          <a:off x="6753225" y="1647825"/>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2962275</xdr:colOff>
      <xdr:row>177</xdr:row>
      <xdr:rowOff>114300</xdr:rowOff>
    </xdr:from>
    <xdr:to>
      <xdr:col>3</xdr:col>
      <xdr:colOff>4000499</xdr:colOff>
      <xdr:row>179</xdr:row>
      <xdr:rowOff>38100</xdr:rowOff>
    </xdr:to>
    <xdr:sp macro="[0]!Complete" textlink="">
      <xdr:nvSpPr>
        <xdr:cNvPr id="3" name="Rectangle 2"/>
        <xdr:cNvSpPr/>
      </xdr:nvSpPr>
      <xdr:spPr>
        <a:xfrm>
          <a:off x="3619500" y="40862250"/>
          <a:ext cx="1038224" cy="304800"/>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1495425</xdr:colOff>
      <xdr:row>0</xdr:row>
      <xdr:rowOff>0</xdr:rowOff>
    </xdr:from>
    <xdr:to>
      <xdr:col>7</xdr:col>
      <xdr:colOff>2895600</xdr:colOff>
      <xdr:row>4</xdr:row>
      <xdr:rowOff>123825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6124575</xdr:colOff>
      <xdr:row>5</xdr:row>
      <xdr:rowOff>28575</xdr:rowOff>
    </xdr:from>
    <xdr:to>
      <xdr:col>4</xdr:col>
      <xdr:colOff>485774</xdr:colOff>
      <xdr:row>6</xdr:row>
      <xdr:rowOff>133350</xdr:rowOff>
    </xdr:to>
    <xdr:sp macro="[0]!Complete" textlink="">
      <xdr:nvSpPr>
        <xdr:cNvPr id="5" name="Rectangle 4">
          <a:hlinkClick xmlns:r="http://schemas.openxmlformats.org/officeDocument/2006/relationships" r:id="rId2"/>
        </xdr:cNvPr>
        <xdr:cNvSpPr/>
      </xdr:nvSpPr>
      <xdr:spPr>
        <a:xfrm>
          <a:off x="6781800" y="1666875"/>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3105150</xdr:colOff>
      <xdr:row>150</xdr:row>
      <xdr:rowOff>123825</xdr:rowOff>
    </xdr:from>
    <xdr:to>
      <xdr:col>3</xdr:col>
      <xdr:colOff>4143374</xdr:colOff>
      <xdr:row>152</xdr:row>
      <xdr:rowOff>38100</xdr:rowOff>
    </xdr:to>
    <xdr:sp macro="[0]!Complete" textlink="">
      <xdr:nvSpPr>
        <xdr:cNvPr id="4" name="Rectangle 3"/>
        <xdr:cNvSpPr/>
      </xdr:nvSpPr>
      <xdr:spPr>
        <a:xfrm>
          <a:off x="3819525" y="3166110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1534583</xdr:colOff>
      <xdr:row>0</xdr:row>
      <xdr:rowOff>0</xdr:rowOff>
    </xdr:from>
    <xdr:to>
      <xdr:col>7</xdr:col>
      <xdr:colOff>2934758</xdr:colOff>
      <xdr:row>4</xdr:row>
      <xdr:rowOff>124883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6043083</xdr:colOff>
      <xdr:row>5</xdr:row>
      <xdr:rowOff>10583</xdr:rowOff>
    </xdr:from>
    <xdr:to>
      <xdr:col>4</xdr:col>
      <xdr:colOff>465665</xdr:colOff>
      <xdr:row>6</xdr:row>
      <xdr:rowOff>115358</xdr:rowOff>
    </xdr:to>
    <xdr:sp macro="[0]!Complete" textlink="">
      <xdr:nvSpPr>
        <xdr:cNvPr id="5" name="Rectangle 4">
          <a:hlinkClick xmlns:r="http://schemas.openxmlformats.org/officeDocument/2006/relationships" r:id="rId2"/>
        </xdr:cNvPr>
        <xdr:cNvSpPr/>
      </xdr:nvSpPr>
      <xdr:spPr>
        <a:xfrm>
          <a:off x="6752166" y="1651000"/>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2838450</xdr:colOff>
      <xdr:row>112</xdr:row>
      <xdr:rowOff>161925</xdr:rowOff>
    </xdr:from>
    <xdr:to>
      <xdr:col>3</xdr:col>
      <xdr:colOff>3876674</xdr:colOff>
      <xdr:row>114</xdr:row>
      <xdr:rowOff>76200</xdr:rowOff>
    </xdr:to>
    <xdr:sp macro="[0]!Complete" textlink="">
      <xdr:nvSpPr>
        <xdr:cNvPr id="3" name="Rectangle 2"/>
        <xdr:cNvSpPr/>
      </xdr:nvSpPr>
      <xdr:spPr>
        <a:xfrm>
          <a:off x="3552825" y="22831425"/>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7</xdr:col>
      <xdr:colOff>1514475</xdr:colOff>
      <xdr:row>0</xdr:row>
      <xdr:rowOff>0</xdr:rowOff>
    </xdr:from>
    <xdr:to>
      <xdr:col>7</xdr:col>
      <xdr:colOff>2914650</xdr:colOff>
      <xdr:row>4</xdr:row>
      <xdr:rowOff>123825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6019800</xdr:colOff>
      <xdr:row>5</xdr:row>
      <xdr:rowOff>28575</xdr:rowOff>
    </xdr:from>
    <xdr:to>
      <xdr:col>4</xdr:col>
      <xdr:colOff>447674</xdr:colOff>
      <xdr:row>6</xdr:row>
      <xdr:rowOff>133350</xdr:rowOff>
    </xdr:to>
    <xdr:sp macro="[0]!Complete" textlink="">
      <xdr:nvSpPr>
        <xdr:cNvPr id="6" name="Rectangle 5">
          <a:hlinkClick xmlns:r="http://schemas.openxmlformats.org/officeDocument/2006/relationships" r:id="rId2"/>
        </xdr:cNvPr>
        <xdr:cNvSpPr/>
      </xdr:nvSpPr>
      <xdr:spPr>
        <a:xfrm>
          <a:off x="6734175" y="1666875"/>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5476876</xdr:colOff>
      <xdr:row>0</xdr:row>
      <xdr:rowOff>228600</xdr:rowOff>
    </xdr:from>
    <xdr:to>
      <xdr:col>3</xdr:col>
      <xdr:colOff>6515100</xdr:colOff>
      <xdr:row>0</xdr:row>
      <xdr:rowOff>523875</xdr:rowOff>
    </xdr:to>
    <xdr:sp macro="[0]!Complete" textlink="">
      <xdr:nvSpPr>
        <xdr:cNvPr id="2" name="Rectangle 1"/>
        <xdr:cNvSpPr/>
      </xdr:nvSpPr>
      <xdr:spPr>
        <a:xfrm>
          <a:off x="6134101" y="228600"/>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2828926</xdr:colOff>
      <xdr:row>101</xdr:row>
      <xdr:rowOff>76200</xdr:rowOff>
    </xdr:from>
    <xdr:to>
      <xdr:col>3</xdr:col>
      <xdr:colOff>3867150</xdr:colOff>
      <xdr:row>102</xdr:row>
      <xdr:rowOff>180975</xdr:rowOff>
    </xdr:to>
    <xdr:sp macro="[0]!Complete" textlink="">
      <xdr:nvSpPr>
        <xdr:cNvPr id="2" name="Rectangle 1"/>
        <xdr:cNvSpPr/>
      </xdr:nvSpPr>
      <xdr:spPr>
        <a:xfrm>
          <a:off x="3543301" y="21669375"/>
          <a:ext cx="1038224"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Complete</a:t>
          </a:r>
        </a:p>
      </xdr:txBody>
    </xdr:sp>
    <xdr:clientData/>
  </xdr:twoCellAnchor>
  <xdr:twoCellAnchor>
    <xdr:from>
      <xdr:col>3</xdr:col>
      <xdr:colOff>6019800</xdr:colOff>
      <xdr:row>5</xdr:row>
      <xdr:rowOff>19050</xdr:rowOff>
    </xdr:from>
    <xdr:to>
      <xdr:col>4</xdr:col>
      <xdr:colOff>447674</xdr:colOff>
      <xdr:row>6</xdr:row>
      <xdr:rowOff>123825</xdr:rowOff>
    </xdr:to>
    <xdr:sp macro="[0]!Complete" textlink="">
      <xdr:nvSpPr>
        <xdr:cNvPr id="3" name="Rectangle 2">
          <a:hlinkClick xmlns:r="http://schemas.openxmlformats.org/officeDocument/2006/relationships" r:id="rId1"/>
        </xdr:cNvPr>
        <xdr:cNvSpPr/>
      </xdr:nvSpPr>
      <xdr:spPr>
        <a:xfrm>
          <a:off x="6734175" y="1657350"/>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twoCellAnchor>
    <xdr:from>
      <xdr:col>7</xdr:col>
      <xdr:colOff>1676400</xdr:colOff>
      <xdr:row>0</xdr:row>
      <xdr:rowOff>0</xdr:rowOff>
    </xdr:from>
    <xdr:to>
      <xdr:col>7</xdr:col>
      <xdr:colOff>3076575</xdr:colOff>
      <xdr:row>4</xdr:row>
      <xdr:rowOff>123825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492918</xdr:colOff>
      <xdr:row>18</xdr:row>
      <xdr:rowOff>152400</xdr:rowOff>
    </xdr:from>
    <xdr:to>
      <xdr:col>16</xdr:col>
      <xdr:colOff>588168</xdr:colOff>
      <xdr:row>27</xdr:row>
      <xdr:rowOff>69056</xdr:rowOff>
    </xdr:to>
    <xdr:sp macro="" textlink="">
      <xdr:nvSpPr>
        <xdr:cNvPr id="4" name="Down Arrow 3"/>
        <xdr:cNvSpPr/>
      </xdr:nvSpPr>
      <xdr:spPr>
        <a:xfrm>
          <a:off x="8903493" y="3686175"/>
          <a:ext cx="704850" cy="1631156"/>
        </a:xfrm>
        <a:prstGeom prst="downArrow">
          <a:avLst/>
        </a:prstGeom>
        <a:solidFill>
          <a:schemeClr val="accent2">
            <a:lumMod val="40000"/>
            <a:lumOff val="60000"/>
          </a:scheme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447676</xdr:colOff>
      <xdr:row>5</xdr:row>
      <xdr:rowOff>57151</xdr:rowOff>
    </xdr:from>
    <xdr:to>
      <xdr:col>7</xdr:col>
      <xdr:colOff>95250</xdr:colOff>
      <xdr:row>13</xdr:row>
      <xdr:rowOff>95250</xdr:rowOff>
    </xdr:to>
    <xdr:sp macro="" textlink="">
      <xdr:nvSpPr>
        <xdr:cNvPr id="7" name="Rectangle 6"/>
        <xdr:cNvSpPr/>
      </xdr:nvSpPr>
      <xdr:spPr>
        <a:xfrm>
          <a:off x="447676" y="1009651"/>
          <a:ext cx="3755230" cy="1562099"/>
        </a:xfrm>
        <a:prstGeom prst="rect">
          <a:avLst/>
        </a:prstGeom>
        <a:noFill/>
        <a:effectLst>
          <a:outerShdw blurRad="50800" dist="38100" dir="2700000" algn="tl" rotWithShape="0">
            <a:srgbClr val="7030A0">
              <a:alpha val="40000"/>
            </a:srgbClr>
          </a:outerShdw>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16</xdr:col>
      <xdr:colOff>133350</xdr:colOff>
      <xdr:row>0</xdr:row>
      <xdr:rowOff>152400</xdr:rowOff>
    </xdr:from>
    <xdr:to>
      <xdr:col>21</xdr:col>
      <xdr:colOff>461693</xdr:colOff>
      <xdr:row>4</xdr:row>
      <xdr:rowOff>6149</xdr:rowOff>
    </xdr:to>
    <xdr:pic>
      <xdr:nvPicPr>
        <xdr:cNvPr id="3" name="Picture 2"/>
        <xdr:cNvPicPr>
          <a:picLocks noChangeAspect="1"/>
        </xdr:cNvPicPr>
      </xdr:nvPicPr>
      <xdr:blipFill>
        <a:blip xmlns:r="http://schemas.openxmlformats.org/officeDocument/2006/relationships" r:embed="rId1"/>
        <a:stretch>
          <a:fillRect/>
        </a:stretch>
      </xdr:blipFill>
      <xdr:spPr>
        <a:xfrm>
          <a:off x="9096375" y="342900"/>
          <a:ext cx="3481118" cy="615749"/>
        </a:xfrm>
        <a:prstGeom prst="rect">
          <a:avLst/>
        </a:prstGeom>
      </xdr:spPr>
    </xdr:pic>
    <xdr:clientData/>
  </xdr:twoCellAnchor>
  <xdr:twoCellAnchor>
    <xdr:from>
      <xdr:col>0</xdr:col>
      <xdr:colOff>57151</xdr:colOff>
      <xdr:row>27</xdr:row>
      <xdr:rowOff>78581</xdr:rowOff>
    </xdr:from>
    <xdr:to>
      <xdr:col>8</xdr:col>
      <xdr:colOff>58286</xdr:colOff>
      <xdr:row>51</xdr:row>
      <xdr:rowOff>175532</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95250</xdr:colOff>
      <xdr:row>0</xdr:row>
      <xdr:rowOff>180975</xdr:rowOff>
    </xdr:from>
    <xdr:to>
      <xdr:col>9</xdr:col>
      <xdr:colOff>238125</xdr:colOff>
      <xdr:row>4</xdr:row>
      <xdr:rowOff>9525</xdr:rowOff>
    </xdr:to>
    <xdr:sp macro="" textlink="">
      <xdr:nvSpPr>
        <xdr:cNvPr id="5" name="Rectangle 4"/>
        <xdr:cNvSpPr/>
      </xdr:nvSpPr>
      <xdr:spPr>
        <a:xfrm>
          <a:off x="95250" y="180975"/>
          <a:ext cx="5095875" cy="590550"/>
        </a:xfrm>
        <a:prstGeom prst="rect">
          <a:avLst/>
        </a:prstGeom>
        <a:solidFill>
          <a:schemeClr val="bg1">
            <a:lumMod val="50000"/>
          </a:schemeClr>
        </a:solidFill>
        <a:ln/>
        <a:effectLst>
          <a:outerShdw blurRad="40000" dist="20000" dir="5400000" rotWithShape="0">
            <a:srgbClr val="000000">
              <a:alpha val="38000"/>
            </a:srgbClr>
          </a:outerShdw>
          <a:softEdge rad="12700"/>
        </a:effectLst>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GB" sz="2800">
              <a:solidFill>
                <a:schemeClr val="bg1"/>
              </a:solidFill>
            </a:rPr>
            <a:t>Engineer's Development Compass</a:t>
          </a:r>
        </a:p>
      </xdr:txBody>
    </xdr:sp>
    <xdr:clientData/>
  </xdr:twoCellAnchor>
  <xdr:twoCellAnchor>
    <xdr:from>
      <xdr:col>0</xdr:col>
      <xdr:colOff>371475</xdr:colOff>
      <xdr:row>54</xdr:row>
      <xdr:rowOff>104775</xdr:rowOff>
    </xdr:from>
    <xdr:to>
      <xdr:col>5</xdr:col>
      <xdr:colOff>245269</xdr:colOff>
      <xdr:row>67</xdr:row>
      <xdr:rowOff>157163</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607218</xdr:colOff>
      <xdr:row>74</xdr:row>
      <xdr:rowOff>23813</xdr:rowOff>
    </xdr:from>
    <xdr:to>
      <xdr:col>5</xdr:col>
      <xdr:colOff>485774</xdr:colOff>
      <xdr:row>87</xdr:row>
      <xdr:rowOff>64295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23813</xdr:colOff>
      <xdr:row>92</xdr:row>
      <xdr:rowOff>119063</xdr:rowOff>
    </xdr:from>
    <xdr:to>
      <xdr:col>5</xdr:col>
      <xdr:colOff>519113</xdr:colOff>
      <xdr:row>105</xdr:row>
      <xdr:rowOff>171451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76200</xdr:colOff>
      <xdr:row>106</xdr:row>
      <xdr:rowOff>85725</xdr:rowOff>
    </xdr:from>
    <xdr:to>
      <xdr:col>5</xdr:col>
      <xdr:colOff>504825</xdr:colOff>
      <xdr:row>119</xdr:row>
      <xdr:rowOff>138113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9525</xdr:colOff>
      <xdr:row>106</xdr:row>
      <xdr:rowOff>95250</xdr:rowOff>
    </xdr:from>
    <xdr:to>
      <xdr:col>10</xdr:col>
      <xdr:colOff>581025</xdr:colOff>
      <xdr:row>119</xdr:row>
      <xdr:rowOff>147638</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76200</xdr:colOff>
      <xdr:row>106</xdr:row>
      <xdr:rowOff>90488</xdr:rowOff>
    </xdr:from>
    <xdr:to>
      <xdr:col>15</xdr:col>
      <xdr:colOff>171450</xdr:colOff>
      <xdr:row>119</xdr:row>
      <xdr:rowOff>142876</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264318</xdr:colOff>
      <xdr:row>106</xdr:row>
      <xdr:rowOff>90488</xdr:rowOff>
    </xdr:from>
    <xdr:to>
      <xdr:col>19</xdr:col>
      <xdr:colOff>378618</xdr:colOff>
      <xdr:row>119</xdr:row>
      <xdr:rowOff>142876</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2380</xdr:colOff>
      <xdr:row>126</xdr:row>
      <xdr:rowOff>57150</xdr:rowOff>
    </xdr:from>
    <xdr:to>
      <xdr:col>5</xdr:col>
      <xdr:colOff>497680</xdr:colOff>
      <xdr:row>139</xdr:row>
      <xdr:rowOff>109538</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38100</xdr:colOff>
      <xdr:row>140</xdr:row>
      <xdr:rowOff>69056</xdr:rowOff>
    </xdr:from>
    <xdr:to>
      <xdr:col>5</xdr:col>
      <xdr:colOff>466725</xdr:colOff>
      <xdr:row>153</xdr:row>
      <xdr:rowOff>121444</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578644</xdr:colOff>
      <xdr:row>140</xdr:row>
      <xdr:rowOff>80962</xdr:rowOff>
    </xdr:from>
    <xdr:to>
      <xdr:col>10</xdr:col>
      <xdr:colOff>550069</xdr:colOff>
      <xdr:row>153</xdr:row>
      <xdr:rowOff>133350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21431</xdr:colOff>
      <xdr:row>140</xdr:row>
      <xdr:rowOff>80963</xdr:rowOff>
    </xdr:from>
    <xdr:to>
      <xdr:col>15</xdr:col>
      <xdr:colOff>107156</xdr:colOff>
      <xdr:row>153</xdr:row>
      <xdr:rowOff>133351</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604838</xdr:colOff>
      <xdr:row>160</xdr:row>
      <xdr:rowOff>54768</xdr:rowOff>
    </xdr:from>
    <xdr:to>
      <xdr:col>5</xdr:col>
      <xdr:colOff>481013</xdr:colOff>
      <xdr:row>173</xdr:row>
      <xdr:rowOff>107156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17</xdr:col>
      <xdr:colOff>523875</xdr:colOff>
      <xdr:row>4</xdr:row>
      <xdr:rowOff>95250</xdr:rowOff>
    </xdr:from>
    <xdr:to>
      <xdr:col>20</xdr:col>
      <xdr:colOff>197644</xdr:colOff>
      <xdr:row>6</xdr:row>
      <xdr:rowOff>76200</xdr:rowOff>
    </xdr:to>
    <xdr:pic>
      <xdr:nvPicPr>
        <xdr:cNvPr id="24" name="Picture 2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072688" y="857250"/>
          <a:ext cx="1495425" cy="36195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592932</xdr:colOff>
      <xdr:row>180</xdr:row>
      <xdr:rowOff>185738</xdr:rowOff>
    </xdr:from>
    <xdr:to>
      <xdr:col>5</xdr:col>
      <xdr:colOff>478632</xdr:colOff>
      <xdr:row>194</xdr:row>
      <xdr:rowOff>47626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581025</xdr:colOff>
      <xdr:row>195</xdr:row>
      <xdr:rowOff>52387</xdr:rowOff>
    </xdr:from>
    <xdr:to>
      <xdr:col>5</xdr:col>
      <xdr:colOff>397668</xdr:colOff>
      <xdr:row>208</xdr:row>
      <xdr:rowOff>104775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511969</xdr:colOff>
      <xdr:row>195</xdr:row>
      <xdr:rowOff>64293</xdr:rowOff>
    </xdr:from>
    <xdr:to>
      <xdr:col>10</xdr:col>
      <xdr:colOff>483394</xdr:colOff>
      <xdr:row>208</xdr:row>
      <xdr:rowOff>116681</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564356</xdr:colOff>
      <xdr:row>195</xdr:row>
      <xdr:rowOff>64294</xdr:rowOff>
    </xdr:from>
    <xdr:to>
      <xdr:col>15</xdr:col>
      <xdr:colOff>40481</xdr:colOff>
      <xdr:row>208</xdr:row>
      <xdr:rowOff>116682</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252412</xdr:colOff>
      <xdr:row>16</xdr:row>
      <xdr:rowOff>164306</xdr:rowOff>
    </xdr:from>
    <xdr:to>
      <xdr:col>20</xdr:col>
      <xdr:colOff>23812</xdr:colOff>
      <xdr:row>19</xdr:row>
      <xdr:rowOff>33338</xdr:rowOff>
    </xdr:to>
    <xdr:sp macro="" textlink="">
      <xdr:nvSpPr>
        <xdr:cNvPr id="2" name="TextBox 1"/>
        <xdr:cNvSpPr txBox="1"/>
      </xdr:nvSpPr>
      <xdr:spPr>
        <a:xfrm>
          <a:off x="6805612" y="3269456"/>
          <a:ext cx="4676775" cy="488157"/>
        </a:xfrm>
        <a:prstGeom prst="rect">
          <a:avLst/>
        </a:prstGeom>
        <a:solidFill>
          <a:schemeClr val="accent2">
            <a:lumMod val="40000"/>
            <a:lumOff val="60000"/>
          </a:scheme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a:t>Scroll Down for further information</a:t>
          </a:r>
        </a:p>
      </xdr:txBody>
    </xdr:sp>
    <xdr:clientData/>
  </xdr:twoCellAnchor>
  <xdr:twoCellAnchor>
    <xdr:from>
      <xdr:col>0</xdr:col>
      <xdr:colOff>202407</xdr:colOff>
      <xdr:row>31</xdr:row>
      <xdr:rowOff>50005</xdr:rowOff>
    </xdr:from>
    <xdr:to>
      <xdr:col>20</xdr:col>
      <xdr:colOff>590550</xdr:colOff>
      <xdr:row>31</xdr:row>
      <xdr:rowOff>50005</xdr:rowOff>
    </xdr:to>
    <xdr:cxnSp macro="">
      <xdr:nvCxnSpPr>
        <xdr:cNvPr id="9" name="Straight Connector 8"/>
        <xdr:cNvCxnSpPr/>
      </xdr:nvCxnSpPr>
      <xdr:spPr>
        <a:xfrm>
          <a:off x="202407" y="6069805"/>
          <a:ext cx="11846718"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254793</xdr:colOff>
      <xdr:row>34</xdr:row>
      <xdr:rowOff>69056</xdr:rowOff>
    </xdr:from>
    <xdr:to>
      <xdr:col>20</xdr:col>
      <xdr:colOff>573881</xdr:colOff>
      <xdr:row>46</xdr:row>
      <xdr:rowOff>152399</xdr:rowOff>
    </xdr:to>
    <xdr:sp macro="" textlink="">
      <xdr:nvSpPr>
        <xdr:cNvPr id="17" name="TextBox 16"/>
        <xdr:cNvSpPr txBox="1"/>
      </xdr:nvSpPr>
      <xdr:spPr>
        <a:xfrm>
          <a:off x="4655343" y="6660356"/>
          <a:ext cx="7377113" cy="23693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Graph shows you a comparison of how you feel</a:t>
          </a:r>
          <a:r>
            <a:rPr lang="en-GB" sz="1100" baseline="0"/>
            <a:t> you rate on each of the Skills against each of quizes you have completed to give you an overview. </a:t>
          </a:r>
        </a:p>
        <a:p>
          <a:endParaRPr lang="en-GB" sz="1100" baseline="0"/>
        </a:p>
        <a:p>
          <a:endParaRPr lang="en-GB" sz="1100" baseline="0"/>
        </a:p>
        <a:p>
          <a:endParaRPr lang="en-GB" sz="1100" baseline="0"/>
        </a:p>
        <a:p>
          <a:r>
            <a:rPr lang="en-GB" sz="1100" baseline="0"/>
            <a:t>The Yellow Line shows your Self Assessment results (How you rated yourself)</a:t>
          </a:r>
        </a:p>
        <a:p>
          <a:endParaRPr lang="en-GB" sz="1100" baseline="0"/>
        </a:p>
        <a:p>
          <a:endParaRPr lang="en-GB" sz="1100" baseline="0"/>
        </a:p>
        <a:p>
          <a:endParaRPr lang="en-GB" sz="1100" baseline="0"/>
        </a:p>
        <a:p>
          <a:r>
            <a:rPr lang="en-GB" sz="1100" baseline="0"/>
            <a:t>The Blue Line shows how you scored on each of the quizes (You can ignore areas where you are not skilled)</a:t>
          </a:r>
          <a:endParaRPr lang="en-GB" sz="1100"/>
        </a:p>
      </xdr:txBody>
    </xdr:sp>
    <xdr:clientData/>
  </xdr:twoCellAnchor>
  <xdr:twoCellAnchor>
    <xdr:from>
      <xdr:col>0</xdr:col>
      <xdr:colOff>266700</xdr:colOff>
      <xdr:row>49</xdr:row>
      <xdr:rowOff>171450</xdr:rowOff>
    </xdr:from>
    <xdr:to>
      <xdr:col>20</xdr:col>
      <xdr:colOff>654843</xdr:colOff>
      <xdr:row>49</xdr:row>
      <xdr:rowOff>171450</xdr:rowOff>
    </xdr:to>
    <xdr:cxnSp macro="">
      <xdr:nvCxnSpPr>
        <xdr:cNvPr id="30" name="Straight Connector 29"/>
        <xdr:cNvCxnSpPr/>
      </xdr:nvCxnSpPr>
      <xdr:spPr>
        <a:xfrm>
          <a:off x="266700" y="9620250"/>
          <a:ext cx="11846718"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40</xdr:row>
      <xdr:rowOff>180975</xdr:rowOff>
    </xdr:from>
    <xdr:to>
      <xdr:col>12</xdr:col>
      <xdr:colOff>504825</xdr:colOff>
      <xdr:row>41</xdr:row>
      <xdr:rowOff>9525</xdr:rowOff>
    </xdr:to>
    <xdr:cxnSp macro="">
      <xdr:nvCxnSpPr>
        <xdr:cNvPr id="32" name="Straight Connector 31"/>
        <xdr:cNvCxnSpPr/>
      </xdr:nvCxnSpPr>
      <xdr:spPr>
        <a:xfrm>
          <a:off x="5124450" y="7915275"/>
          <a:ext cx="1933575" cy="19050"/>
        </a:xfrm>
        <a:prstGeom prst="line">
          <a:avLst/>
        </a:prstGeom>
        <a:ln w="22225">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130968</xdr:colOff>
      <xdr:row>44</xdr:row>
      <xdr:rowOff>145256</xdr:rowOff>
    </xdr:from>
    <xdr:to>
      <xdr:col>12</xdr:col>
      <xdr:colOff>521493</xdr:colOff>
      <xdr:row>44</xdr:row>
      <xdr:rowOff>164306</xdr:rowOff>
    </xdr:to>
    <xdr:cxnSp macro="">
      <xdr:nvCxnSpPr>
        <xdr:cNvPr id="33" name="Straight Connector 32"/>
        <xdr:cNvCxnSpPr/>
      </xdr:nvCxnSpPr>
      <xdr:spPr>
        <a:xfrm>
          <a:off x="5141118" y="8641556"/>
          <a:ext cx="1933575" cy="19050"/>
        </a:xfrm>
        <a:prstGeom prst="line">
          <a:avLst/>
        </a:prstGeom>
        <a:ln w="22225">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304800</xdr:colOff>
      <xdr:row>69</xdr:row>
      <xdr:rowOff>69057</xdr:rowOff>
    </xdr:from>
    <xdr:to>
      <xdr:col>20</xdr:col>
      <xdr:colOff>692943</xdr:colOff>
      <xdr:row>69</xdr:row>
      <xdr:rowOff>69057</xdr:rowOff>
    </xdr:to>
    <xdr:cxnSp macro="">
      <xdr:nvCxnSpPr>
        <xdr:cNvPr id="34" name="Straight Connector 33"/>
        <xdr:cNvCxnSpPr/>
      </xdr:nvCxnSpPr>
      <xdr:spPr>
        <a:xfrm>
          <a:off x="304800" y="14166057"/>
          <a:ext cx="118181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309563</xdr:colOff>
      <xdr:row>88</xdr:row>
      <xdr:rowOff>130969</xdr:rowOff>
    </xdr:from>
    <xdr:to>
      <xdr:col>20</xdr:col>
      <xdr:colOff>697706</xdr:colOff>
      <xdr:row>88</xdr:row>
      <xdr:rowOff>130969</xdr:rowOff>
    </xdr:to>
    <xdr:cxnSp macro="">
      <xdr:nvCxnSpPr>
        <xdr:cNvPr id="36" name="Straight Connector 35"/>
        <xdr:cNvCxnSpPr/>
      </xdr:nvCxnSpPr>
      <xdr:spPr>
        <a:xfrm>
          <a:off x="309563" y="18692813"/>
          <a:ext cx="118181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272143</xdr:colOff>
      <xdr:row>121</xdr:row>
      <xdr:rowOff>13607</xdr:rowOff>
    </xdr:from>
    <xdr:to>
      <xdr:col>20</xdr:col>
      <xdr:colOff>660286</xdr:colOff>
      <xdr:row>121</xdr:row>
      <xdr:rowOff>13607</xdr:rowOff>
    </xdr:to>
    <xdr:cxnSp macro="">
      <xdr:nvCxnSpPr>
        <xdr:cNvPr id="37" name="Straight Connector 36"/>
        <xdr:cNvCxnSpPr/>
      </xdr:nvCxnSpPr>
      <xdr:spPr>
        <a:xfrm>
          <a:off x="272143" y="26765250"/>
          <a:ext cx="11886179"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342900</xdr:colOff>
      <xdr:row>155</xdr:row>
      <xdr:rowOff>114300</xdr:rowOff>
    </xdr:from>
    <xdr:to>
      <xdr:col>21</xdr:col>
      <xdr:colOff>7143</xdr:colOff>
      <xdr:row>155</xdr:row>
      <xdr:rowOff>114300</xdr:rowOff>
    </xdr:to>
    <xdr:cxnSp macro="">
      <xdr:nvCxnSpPr>
        <xdr:cNvPr id="38" name="Straight Connector 37"/>
        <xdr:cNvCxnSpPr/>
      </xdr:nvCxnSpPr>
      <xdr:spPr>
        <a:xfrm>
          <a:off x="342900" y="3421380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381000</xdr:colOff>
      <xdr:row>175</xdr:row>
      <xdr:rowOff>152400</xdr:rowOff>
    </xdr:from>
    <xdr:to>
      <xdr:col>21</xdr:col>
      <xdr:colOff>45243</xdr:colOff>
      <xdr:row>175</xdr:row>
      <xdr:rowOff>152400</xdr:rowOff>
    </xdr:to>
    <xdr:cxnSp macro="">
      <xdr:nvCxnSpPr>
        <xdr:cNvPr id="39" name="Straight Connector 38"/>
        <xdr:cNvCxnSpPr/>
      </xdr:nvCxnSpPr>
      <xdr:spPr>
        <a:xfrm>
          <a:off x="381000" y="3886200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457200</xdr:colOff>
      <xdr:row>210</xdr:row>
      <xdr:rowOff>19050</xdr:rowOff>
    </xdr:from>
    <xdr:to>
      <xdr:col>21</xdr:col>
      <xdr:colOff>121443</xdr:colOff>
      <xdr:row>210</xdr:row>
      <xdr:rowOff>19050</xdr:rowOff>
    </xdr:to>
    <xdr:cxnSp macro="">
      <xdr:nvCxnSpPr>
        <xdr:cNvPr id="40" name="Straight Connector 39"/>
        <xdr:cNvCxnSpPr/>
      </xdr:nvCxnSpPr>
      <xdr:spPr>
        <a:xfrm>
          <a:off x="457200" y="4619625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210</xdr:row>
      <xdr:rowOff>152400</xdr:rowOff>
    </xdr:from>
    <xdr:to>
      <xdr:col>21</xdr:col>
      <xdr:colOff>273843</xdr:colOff>
      <xdr:row>210</xdr:row>
      <xdr:rowOff>152400</xdr:rowOff>
    </xdr:to>
    <xdr:cxnSp macro="">
      <xdr:nvCxnSpPr>
        <xdr:cNvPr id="41" name="Straight Connector 40"/>
        <xdr:cNvCxnSpPr/>
      </xdr:nvCxnSpPr>
      <xdr:spPr>
        <a:xfrm>
          <a:off x="609600" y="4632960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190500</xdr:colOff>
      <xdr:row>211</xdr:row>
      <xdr:rowOff>95250</xdr:rowOff>
    </xdr:from>
    <xdr:to>
      <xdr:col>21</xdr:col>
      <xdr:colOff>464343</xdr:colOff>
      <xdr:row>211</xdr:row>
      <xdr:rowOff>95250</xdr:rowOff>
    </xdr:to>
    <xdr:cxnSp macro="">
      <xdr:nvCxnSpPr>
        <xdr:cNvPr id="43" name="Straight Connector 42"/>
        <xdr:cNvCxnSpPr/>
      </xdr:nvCxnSpPr>
      <xdr:spPr>
        <a:xfrm>
          <a:off x="800100" y="46462950"/>
          <a:ext cx="11856243"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42334</xdr:colOff>
      <xdr:row>6</xdr:row>
      <xdr:rowOff>42334</xdr:rowOff>
    </xdr:from>
    <xdr:to>
      <xdr:col>15</xdr:col>
      <xdr:colOff>550333</xdr:colOff>
      <xdr:row>7</xdr:row>
      <xdr:rowOff>147109</xdr:rowOff>
    </xdr:to>
    <xdr:sp macro="[0]!Complete" textlink="">
      <xdr:nvSpPr>
        <xdr:cNvPr id="44" name="Rectangle 43">
          <a:hlinkClick xmlns:r="http://schemas.openxmlformats.org/officeDocument/2006/relationships" r:id="rId20"/>
        </xdr:cNvPr>
        <xdr:cNvSpPr/>
      </xdr:nvSpPr>
      <xdr:spPr>
        <a:xfrm>
          <a:off x="8053917" y="1185334"/>
          <a:ext cx="952499" cy="295275"/>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600075</xdr:colOff>
      <xdr:row>2</xdr:row>
      <xdr:rowOff>95250</xdr:rowOff>
    </xdr:from>
    <xdr:to>
      <xdr:col>7</xdr:col>
      <xdr:colOff>1226005</xdr:colOff>
      <xdr:row>2</xdr:row>
      <xdr:rowOff>495300</xdr:rowOff>
    </xdr:to>
    <xdr:sp macro="" textlink="">
      <xdr:nvSpPr>
        <xdr:cNvPr id="3" name="Rectangle 2">
          <a:hlinkClick xmlns:r="http://schemas.openxmlformats.org/officeDocument/2006/relationships" r:id="rId1"/>
        </xdr:cNvPr>
        <xdr:cNvSpPr/>
      </xdr:nvSpPr>
      <xdr:spPr>
        <a:xfrm>
          <a:off x="5657850" y="476250"/>
          <a:ext cx="1854655" cy="400050"/>
        </a:xfrm>
        <a:prstGeom prst="rect">
          <a:avLst/>
        </a:prstGeom>
        <a:solidFill>
          <a:schemeClr val="tx1">
            <a:lumMod val="75000"/>
            <a:lumOff val="2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200" b="1">
              <a:solidFill>
                <a:schemeClr val="lt1"/>
              </a:solidFill>
              <a:latin typeface="+mn-lt"/>
              <a:ea typeface="+mn-ea"/>
              <a:cs typeface="+mn-cs"/>
            </a:rPr>
            <a:t>Back to the Front Page</a:t>
          </a:r>
        </a:p>
      </xdr:txBody>
    </xdr:sp>
    <xdr:clientData/>
  </xdr:twoCellAnchor>
  <xdr:twoCellAnchor editAs="oneCell">
    <xdr:from>
      <xdr:col>2</xdr:col>
      <xdr:colOff>265338</xdr:colOff>
      <xdr:row>0</xdr:row>
      <xdr:rowOff>179307</xdr:rowOff>
    </xdr:from>
    <xdr:to>
      <xdr:col>5</xdr:col>
      <xdr:colOff>555582</xdr:colOff>
      <xdr:row>2</xdr:row>
      <xdr:rowOff>666777</xdr:rowOff>
    </xdr:to>
    <xdr:pic>
      <xdr:nvPicPr>
        <xdr:cNvPr id="4" name="Picture 3"/>
        <xdr:cNvPicPr>
          <a:picLocks noChangeAspect="1"/>
        </xdr:cNvPicPr>
      </xdr:nvPicPr>
      <xdr:blipFill>
        <a:blip xmlns:r="http://schemas.openxmlformats.org/officeDocument/2006/relationships" r:embed="rId2"/>
        <a:stretch>
          <a:fillRect/>
        </a:stretch>
      </xdr:blipFill>
      <xdr:spPr>
        <a:xfrm>
          <a:off x="789213" y="179307"/>
          <a:ext cx="4933682" cy="868470"/>
        </a:xfrm>
        <a:prstGeom prst="rect">
          <a:avLst/>
        </a:prstGeom>
      </xdr:spPr>
    </xdr:pic>
    <xdr:clientData/>
  </xdr:twoCellAnchor>
  <xdr:twoCellAnchor>
    <xdr:from>
      <xdr:col>5</xdr:col>
      <xdr:colOff>488155</xdr:colOff>
      <xdr:row>7</xdr:row>
      <xdr:rowOff>226220</xdr:rowOff>
    </xdr:from>
    <xdr:to>
      <xdr:col>7</xdr:col>
      <xdr:colOff>1059655</xdr:colOff>
      <xdr:row>7</xdr:row>
      <xdr:rowOff>473870</xdr:rowOff>
    </xdr:to>
    <xdr:sp macro="" textlink="">
      <xdr:nvSpPr>
        <xdr:cNvPr id="7" name="TextBox 6"/>
        <xdr:cNvSpPr txBox="1"/>
      </xdr:nvSpPr>
      <xdr:spPr>
        <a:xfrm>
          <a:off x="5655468" y="7572376"/>
          <a:ext cx="3667125" cy="247650"/>
        </a:xfrm>
        <a:prstGeom prst="rect">
          <a:avLst/>
        </a:prstGeom>
        <a:solidFill>
          <a:schemeClr val="accent3">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will auto populate from</a:t>
          </a:r>
          <a:r>
            <a:rPr lang="en-GB" sz="1400" baseline="0"/>
            <a:t> the Scoresheet.</a:t>
          </a:r>
          <a:endParaRPr lang="en-GB" sz="1400"/>
        </a:p>
      </xdr:txBody>
    </xdr:sp>
    <xdr:clientData/>
  </xdr:twoCellAnchor>
  <xdr:twoCellAnchor>
    <xdr:from>
      <xdr:col>11</xdr:col>
      <xdr:colOff>84667</xdr:colOff>
      <xdr:row>1</xdr:row>
      <xdr:rowOff>10583</xdr:rowOff>
    </xdr:from>
    <xdr:to>
      <xdr:col>18</xdr:col>
      <xdr:colOff>164912</xdr:colOff>
      <xdr:row>7</xdr:row>
      <xdr:rowOff>411163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85725</xdr:colOff>
      <xdr:row>1</xdr:row>
      <xdr:rowOff>171450</xdr:rowOff>
    </xdr:from>
    <xdr:to>
      <xdr:col>13</xdr:col>
      <xdr:colOff>430668</xdr:colOff>
      <xdr:row>3</xdr:row>
      <xdr:rowOff>190500</xdr:rowOff>
    </xdr:to>
    <xdr:sp macro="" textlink="">
      <xdr:nvSpPr>
        <xdr:cNvPr id="7" name="Rectangle 6">
          <a:hlinkClick xmlns:r="http://schemas.openxmlformats.org/officeDocument/2006/relationships" r:id="rId1"/>
        </xdr:cNvPr>
        <xdr:cNvSpPr/>
      </xdr:nvSpPr>
      <xdr:spPr>
        <a:xfrm>
          <a:off x="7210425" y="171450"/>
          <a:ext cx="2173743" cy="400050"/>
        </a:xfrm>
        <a:prstGeom prst="rect">
          <a:avLst/>
        </a:prstGeom>
        <a:solidFill>
          <a:sysClr val="windowText" lastClr="000000">
            <a:lumMod val="75000"/>
            <a:lumOff val="25000"/>
          </a:sysClr>
        </a:solidFill>
        <a:ln w="25400" cap="flat" cmpd="sng" algn="ctr">
          <a:noFill/>
          <a:prstDash val="soli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noProof="0">
              <a:ln>
                <a:noFill/>
              </a:ln>
              <a:solidFill>
                <a:sysClr val="window" lastClr="FFFFFF"/>
              </a:solidFill>
              <a:effectLst/>
              <a:uLnTx/>
              <a:uFillTx/>
              <a:latin typeface="Calibri" panose="020F0502020204030204"/>
              <a:ea typeface="+mn-ea"/>
              <a:cs typeface="+mn-cs"/>
            </a:rPr>
            <a:t>Back to the Front Page</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123825</xdr:colOff>
      <xdr:row>0</xdr:row>
      <xdr:rowOff>66675</xdr:rowOff>
    </xdr:from>
    <xdr:to>
      <xdr:col>6</xdr:col>
      <xdr:colOff>664891</xdr:colOff>
      <xdr:row>4</xdr:row>
      <xdr:rowOff>170382</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66675"/>
          <a:ext cx="4932091" cy="865707"/>
        </a:xfrm>
        <a:prstGeom prst="rect">
          <a:avLst/>
        </a:prstGeom>
      </xdr:spPr>
    </xdr:pic>
    <xdr:clientData/>
  </xdr:twoCellAnchor>
  <xdr:twoCellAnchor>
    <xdr:from>
      <xdr:col>0</xdr:col>
      <xdr:colOff>133349</xdr:colOff>
      <xdr:row>4</xdr:row>
      <xdr:rowOff>180975</xdr:rowOff>
    </xdr:from>
    <xdr:to>
      <xdr:col>4</xdr:col>
      <xdr:colOff>523874</xdr:colOff>
      <xdr:row>6</xdr:row>
      <xdr:rowOff>119743</xdr:rowOff>
    </xdr:to>
    <xdr:sp macro="" textlink="">
      <xdr:nvSpPr>
        <xdr:cNvPr id="5" name="Rectangle 4"/>
        <xdr:cNvSpPr/>
      </xdr:nvSpPr>
      <xdr:spPr>
        <a:xfrm>
          <a:off x="133349" y="942975"/>
          <a:ext cx="3819525" cy="319768"/>
        </a:xfrm>
        <a:prstGeom prst="rect">
          <a:avLst/>
        </a:prstGeom>
        <a:solidFill>
          <a:schemeClr val="bg1">
            <a:lumMod val="50000"/>
          </a:schemeClr>
        </a:solidFill>
        <a:ln>
          <a:noFill/>
        </a:ln>
        <a:effectLst>
          <a:outerShdw blurRad="50800" dist="38100" dir="2700000" algn="tl" rotWithShape="0">
            <a:prstClr val="black">
              <a:alpha val="40000"/>
            </a:prstClr>
          </a:outerShdw>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GB" sz="1800" b="1">
              <a:solidFill>
                <a:schemeClr val="lt1"/>
              </a:solidFill>
              <a:latin typeface="+mn-lt"/>
              <a:ea typeface="+mn-ea"/>
              <a:cs typeface="+mn-cs"/>
            </a:rPr>
            <a:t>Personal Development Document</a:t>
          </a:r>
        </a:p>
      </xdr:txBody>
    </xdr:sp>
    <xdr:clientData/>
  </xdr:twoCellAnchor>
  <xdr:twoCellAnchor>
    <xdr:from>
      <xdr:col>9</xdr:col>
      <xdr:colOff>390525</xdr:colOff>
      <xdr:row>0</xdr:row>
      <xdr:rowOff>161925</xdr:rowOff>
    </xdr:from>
    <xdr:to>
      <xdr:col>11</xdr:col>
      <xdr:colOff>1687968</xdr:colOff>
      <xdr:row>2</xdr:row>
      <xdr:rowOff>180975</xdr:rowOff>
    </xdr:to>
    <xdr:sp macro="" textlink="">
      <xdr:nvSpPr>
        <xdr:cNvPr id="4" name="Rectangle 3">
          <a:hlinkClick xmlns:r="http://schemas.openxmlformats.org/officeDocument/2006/relationships" r:id="rId2"/>
        </xdr:cNvPr>
        <xdr:cNvSpPr/>
      </xdr:nvSpPr>
      <xdr:spPr>
        <a:xfrm>
          <a:off x="8020050" y="161925"/>
          <a:ext cx="2173743" cy="400050"/>
        </a:xfrm>
        <a:prstGeom prst="rect">
          <a:avLst/>
        </a:prstGeom>
        <a:solidFill>
          <a:sysClr val="windowText" lastClr="000000">
            <a:lumMod val="75000"/>
            <a:lumOff val="25000"/>
          </a:sysClr>
        </a:solidFill>
        <a:ln w="25400" cap="flat" cmpd="sng" algn="ctr">
          <a:noFill/>
          <a:prstDash val="soli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noProof="0">
              <a:ln>
                <a:noFill/>
              </a:ln>
              <a:solidFill>
                <a:sysClr val="window" lastClr="FFFFFF"/>
              </a:solidFill>
              <a:effectLst/>
              <a:uLnTx/>
              <a:uFillTx/>
              <a:latin typeface="Calibri" panose="020F0502020204030204"/>
              <a:ea typeface="+mn-ea"/>
              <a:cs typeface="+mn-cs"/>
            </a:rPr>
            <a:t>Back to the Front Page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B6:O33"/>
  <sheetViews>
    <sheetView showGridLines="0" showRowColHeaders="0" zoomScale="90" zoomScaleNormal="90" workbookViewId="0">
      <selection activeCell="C11" sqref="C11:G11"/>
    </sheetView>
  </sheetViews>
  <sheetFormatPr defaultRowHeight="15" x14ac:dyDescent="0.25"/>
  <cols>
    <col min="1" max="1" width="4.7109375" style="147" customWidth="1"/>
    <col min="2" max="2" width="9.140625" style="147"/>
    <col min="3" max="3" width="7.42578125" style="147" customWidth="1"/>
    <col min="4" max="4" width="13.7109375" style="147" customWidth="1"/>
    <col min="5" max="6" width="9.140625" style="147"/>
    <col min="7" max="7" width="11.42578125" style="147" customWidth="1"/>
    <col min="8" max="8" width="4.28515625" style="147" customWidth="1"/>
    <col min="9" max="9" width="9.42578125" style="147" customWidth="1"/>
    <col min="10" max="10" width="8.5703125" style="147" customWidth="1"/>
    <col min="11" max="11" width="15.5703125" style="147" customWidth="1"/>
    <col min="12" max="13" width="9.140625" style="147"/>
    <col min="14" max="14" width="12" style="147" customWidth="1"/>
    <col min="15" max="15" width="6.7109375" style="147" customWidth="1"/>
    <col min="16" max="20" width="9.140625" style="147"/>
    <col min="21" max="21" width="10.7109375" style="147" customWidth="1"/>
    <col min="22" max="16384" width="9.140625" style="147"/>
  </cols>
  <sheetData>
    <row r="6" spans="2:15" x14ac:dyDescent="0.25">
      <c r="H6" s="148"/>
      <c r="I6" s="148"/>
    </row>
    <row r="7" spans="2:15" ht="15" customHeight="1" x14ac:dyDescent="0.25"/>
    <row r="10" spans="2:15" ht="15.75" thickBot="1" x14ac:dyDescent="0.3"/>
    <row r="11" spans="2:15" x14ac:dyDescent="0.25">
      <c r="B11" s="149" t="s">
        <v>38</v>
      </c>
      <c r="C11" s="159"/>
      <c r="D11" s="160"/>
      <c r="E11" s="160"/>
      <c r="F11" s="160"/>
      <c r="G11" s="161"/>
      <c r="K11" s="150" t="s">
        <v>346</v>
      </c>
      <c r="L11" s="151"/>
      <c r="M11" s="151"/>
      <c r="N11" s="151"/>
      <c r="O11" s="152"/>
    </row>
    <row r="12" spans="2:15" x14ac:dyDescent="0.25">
      <c r="B12" s="149" t="s">
        <v>11</v>
      </c>
      <c r="C12" s="159"/>
      <c r="D12" s="160"/>
      <c r="E12" s="160"/>
      <c r="F12" s="160"/>
      <c r="G12" s="161"/>
      <c r="K12" s="153"/>
      <c r="L12" s="154"/>
      <c r="M12" s="154"/>
      <c r="N12" s="154"/>
      <c r="O12" s="155"/>
    </row>
    <row r="13" spans="2:15" x14ac:dyDescent="0.25">
      <c r="B13" s="149" t="s">
        <v>9</v>
      </c>
      <c r="C13" s="159"/>
      <c r="D13" s="160"/>
      <c r="E13" s="160"/>
      <c r="F13" s="160"/>
      <c r="G13" s="161"/>
      <c r="K13" s="153"/>
      <c r="L13" s="154"/>
      <c r="M13" s="154"/>
      <c r="N13" s="154"/>
      <c r="O13" s="155"/>
    </row>
    <row r="14" spans="2:15" ht="15.75" thickBot="1" x14ac:dyDescent="0.3">
      <c r="B14" s="149" t="s">
        <v>10</v>
      </c>
      <c r="C14" s="159"/>
      <c r="D14" s="160"/>
      <c r="E14" s="160"/>
      <c r="F14" s="160"/>
      <c r="G14" s="161"/>
      <c r="K14" s="156"/>
      <c r="L14" s="157"/>
      <c r="M14" s="157"/>
      <c r="N14" s="157"/>
      <c r="O14" s="158"/>
    </row>
    <row r="15" spans="2:15" ht="18.75" customHeight="1" x14ac:dyDescent="0.25"/>
    <row r="16" spans="2:15" ht="18.75" customHeight="1" x14ac:dyDescent="0.25"/>
    <row r="17" ht="15" customHeight="1" x14ac:dyDescent="0.25"/>
    <row r="20" ht="15" customHeight="1" x14ac:dyDescent="0.25"/>
    <row r="23" ht="15" customHeight="1" x14ac:dyDescent="0.25"/>
    <row r="26" ht="15" customHeight="1" x14ac:dyDescent="0.25"/>
    <row r="28" ht="15" customHeight="1" x14ac:dyDescent="0.25"/>
    <row r="32" ht="15.75" customHeight="1" x14ac:dyDescent="0.25"/>
    <row r="33" ht="15.75" customHeight="1" x14ac:dyDescent="0.25"/>
  </sheetData>
  <sheetProtection sheet="1" objects="1" scenarios="1" selectLockedCells="1"/>
  <mergeCells count="5">
    <mergeCell ref="K11:O14"/>
    <mergeCell ref="C11:G11"/>
    <mergeCell ref="C12:G12"/>
    <mergeCell ref="C13:G13"/>
    <mergeCell ref="C14:G14"/>
  </mergeCells>
  <pageMargins left="0.7" right="0.7" top="0.75" bottom="0.75"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showGridLines="0" showRowColHeaders="0" zoomScaleNormal="100" workbookViewId="0">
      <selection activeCell="C11" sqref="C11:G11"/>
    </sheetView>
  </sheetViews>
  <sheetFormatPr defaultRowHeight="15" x14ac:dyDescent="0.25"/>
  <sheetData/>
  <sheetProtection sheet="1" objects="1" scenarios="1"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B1:DD48"/>
  <sheetViews>
    <sheetView showGridLines="0" showRowColHeaders="0" tabSelected="1" zoomScale="90" zoomScaleNormal="90" workbookViewId="0">
      <selection activeCell="E3" sqref="E3"/>
    </sheetView>
  </sheetViews>
  <sheetFormatPr defaultRowHeight="15" x14ac:dyDescent="0.25"/>
  <cols>
    <col min="1" max="1" width="5.85546875" style="1" customWidth="1"/>
    <col min="2" max="2" width="24.140625" style="1" customWidth="1"/>
    <col min="3" max="3" width="40.28515625" style="1" customWidth="1"/>
    <col min="4" max="7" width="23.140625" style="1" customWidth="1"/>
    <col min="8" max="47" width="9.140625" style="1"/>
    <col min="48" max="51" width="9.140625" style="2"/>
    <col min="52" max="52" width="12.5703125" style="2" customWidth="1"/>
    <col min="53" max="108" width="9.140625" style="2"/>
    <col min="109" max="16384" width="9.140625" style="1"/>
  </cols>
  <sheetData>
    <row r="1" spans="2:86" x14ac:dyDescent="0.25">
      <c r="BW1" s="2" t="s">
        <v>16</v>
      </c>
      <c r="BX1" s="2">
        <v>3.8</v>
      </c>
      <c r="CA1" s="2" t="str">
        <f>Master!AM1</f>
        <v>Novice</v>
      </c>
      <c r="CB1" s="2">
        <v>0</v>
      </c>
      <c r="CH1" s="2" t="str">
        <f>AZ21</f>
        <v>Skills</v>
      </c>
    </row>
    <row r="2" spans="2:86" x14ac:dyDescent="0.25">
      <c r="BW2" s="2" t="s">
        <v>17</v>
      </c>
      <c r="BX2" s="2">
        <v>0</v>
      </c>
      <c r="CA2" s="2" t="str">
        <f>Master!AM2</f>
        <v>Intermediate</v>
      </c>
      <c r="CB2" s="2">
        <v>0.9</v>
      </c>
      <c r="CH2" s="2" t="str">
        <f>BF21</f>
        <v>Technical Knowledge</v>
      </c>
    </row>
    <row r="3" spans="2:86" ht="60.75" customHeight="1" thickBot="1" x14ac:dyDescent="0.3">
      <c r="B3" s="38"/>
      <c r="C3" s="38"/>
      <c r="D3" s="38"/>
      <c r="E3" s="38"/>
      <c r="CA3" s="2" t="str">
        <f>Master!AM3</f>
        <v>Competent</v>
      </c>
      <c r="CB3" s="2">
        <v>1.9</v>
      </c>
      <c r="CH3" s="2" t="e">
        <f>BL21</f>
        <v>#REF!</v>
      </c>
    </row>
    <row r="4" spans="2:86" ht="62.25" customHeight="1" thickBot="1" x14ac:dyDescent="0.3">
      <c r="B4" s="170" t="str">
        <f>Master!C4</f>
        <v>Skills</v>
      </c>
      <c r="C4" s="171"/>
      <c r="D4" s="172"/>
      <c r="CA4" s="2" t="str">
        <f>Master!AM4</f>
        <v>Advanced</v>
      </c>
      <c r="CB4" s="2">
        <v>2.9</v>
      </c>
    </row>
    <row r="5" spans="2:86" ht="45" customHeight="1" x14ac:dyDescent="0.25">
      <c r="B5" s="42" t="str">
        <f>Master!C5</f>
        <v>CAL / OMI</v>
      </c>
      <c r="C5" s="166" t="s">
        <v>739</v>
      </c>
      <c r="D5" s="167"/>
      <c r="H5" s="3"/>
      <c r="AY5" s="11"/>
      <c r="CA5" s="2" t="str">
        <f>Master!AM5</f>
        <v>Expert</v>
      </c>
      <c r="CB5" s="2">
        <v>3.9</v>
      </c>
    </row>
    <row r="6" spans="2:86" ht="45" customHeight="1" thickBot="1" x14ac:dyDescent="0.3">
      <c r="B6" s="39"/>
      <c r="C6" s="168"/>
      <c r="D6" s="169"/>
      <c r="H6" s="3"/>
      <c r="AY6" s="11"/>
    </row>
    <row r="7" spans="2:86" ht="45" customHeight="1" x14ac:dyDescent="0.25">
      <c r="B7" s="42" t="str">
        <f>Master!D5</f>
        <v>UG or First Look</v>
      </c>
      <c r="C7" s="166" t="s">
        <v>740</v>
      </c>
      <c r="D7" s="167"/>
      <c r="H7" s="3"/>
      <c r="AY7" s="11"/>
    </row>
    <row r="8" spans="2:86" ht="45" customHeight="1" thickBot="1" x14ac:dyDescent="0.3">
      <c r="B8" s="39"/>
      <c r="C8" s="168"/>
      <c r="D8" s="169"/>
      <c r="H8" s="3"/>
      <c r="AY8" s="11"/>
    </row>
    <row r="9" spans="2:86" ht="45" customHeight="1" x14ac:dyDescent="0.25">
      <c r="B9" s="42" t="str">
        <f>Master!E5</f>
        <v>BB</v>
      </c>
      <c r="C9" s="166" t="s">
        <v>741</v>
      </c>
      <c r="D9" s="167"/>
      <c r="H9" s="3"/>
      <c r="AY9" s="11"/>
    </row>
    <row r="10" spans="2:86" ht="45" customHeight="1" thickBot="1" x14ac:dyDescent="0.3">
      <c r="B10" s="39"/>
      <c r="C10" s="168"/>
      <c r="D10" s="169"/>
      <c r="H10" s="3"/>
      <c r="AY10" s="11"/>
    </row>
    <row r="11" spans="2:86" ht="45" customHeight="1" x14ac:dyDescent="0.25">
      <c r="B11" s="42" t="str">
        <f>Master!F5</f>
        <v>FTTC</v>
      </c>
      <c r="C11" s="166" t="s">
        <v>778</v>
      </c>
      <c r="D11" s="167"/>
      <c r="H11" s="3"/>
      <c r="AY11" s="11"/>
    </row>
    <row r="12" spans="2:86" ht="45" customHeight="1" thickBot="1" x14ac:dyDescent="0.3">
      <c r="B12" s="39"/>
      <c r="C12" s="168"/>
      <c r="D12" s="169"/>
      <c r="H12" s="3"/>
      <c r="AY12" s="11"/>
    </row>
    <row r="13" spans="2:86" ht="45" customHeight="1" x14ac:dyDescent="0.25">
      <c r="B13" s="42" t="str">
        <f>Master!G5</f>
        <v>IPhone/Apps</v>
      </c>
      <c r="C13" s="166" t="s">
        <v>779</v>
      </c>
      <c r="D13" s="167"/>
      <c r="H13" s="3"/>
      <c r="AY13" s="11"/>
    </row>
    <row r="14" spans="2:86" ht="45" customHeight="1" thickBot="1" x14ac:dyDescent="0.3">
      <c r="B14" s="39"/>
      <c r="C14" s="168"/>
      <c r="D14" s="169"/>
      <c r="H14" s="3"/>
      <c r="AY14" s="11"/>
    </row>
    <row r="15" spans="2:86" ht="45" customHeight="1" x14ac:dyDescent="0.25">
      <c r="B15" s="42" t="str">
        <f>Master!H5</f>
        <v>Frames H1/H4</v>
      </c>
      <c r="C15" s="166" t="s">
        <v>780</v>
      </c>
      <c r="D15" s="167"/>
      <c r="H15" s="3"/>
      <c r="AY15" s="11"/>
    </row>
    <row r="16" spans="2:86" ht="45" customHeight="1" thickBot="1" x14ac:dyDescent="0.3">
      <c r="B16" s="39"/>
      <c r="C16" s="168"/>
      <c r="D16" s="169"/>
      <c r="H16" s="3"/>
      <c r="AY16" s="11"/>
    </row>
    <row r="17" spans="2:93" ht="45" customHeight="1" x14ac:dyDescent="0.25">
      <c r="B17" s="142" t="s">
        <v>737</v>
      </c>
      <c r="C17" s="162" t="s">
        <v>738</v>
      </c>
      <c r="D17" s="163"/>
      <c r="H17" s="3"/>
      <c r="AY17" s="11"/>
    </row>
    <row r="18" spans="2:93" ht="45" customHeight="1" thickBot="1" x14ac:dyDescent="0.3">
      <c r="B18" s="141"/>
      <c r="C18" s="164"/>
      <c r="D18" s="165"/>
      <c r="H18" s="3"/>
      <c r="AY18" s="11"/>
    </row>
    <row r="19" spans="2:93" ht="6.75" customHeight="1" x14ac:dyDescent="0.25">
      <c r="B19" s="20"/>
      <c r="C19" s="20"/>
      <c r="D19" s="3"/>
      <c r="E19" s="3"/>
      <c r="F19" s="3"/>
      <c r="G19" s="3"/>
      <c r="AY19" s="11"/>
    </row>
    <row r="20" spans="2:93" ht="6.75" customHeight="1" thickBot="1" x14ac:dyDescent="0.3">
      <c r="AY20" s="11"/>
    </row>
    <row r="21" spans="2:93" ht="6.75" customHeight="1" thickBot="1" x14ac:dyDescent="0.3">
      <c r="AY21" s="11"/>
      <c r="AZ21" s="185" t="str">
        <f>B4</f>
        <v>Skills</v>
      </c>
      <c r="BA21" s="186"/>
      <c r="BB21" s="186"/>
      <c r="BC21" s="186"/>
      <c r="BD21" s="186"/>
      <c r="BE21" s="190"/>
      <c r="BF21" s="185" t="str">
        <f>B22</f>
        <v>Technical Knowledge</v>
      </c>
      <c r="BG21" s="186"/>
      <c r="BH21" s="186"/>
      <c r="BI21" s="186"/>
      <c r="BJ21" s="186"/>
      <c r="BK21" s="190"/>
      <c r="BL21" s="185" t="e">
        <f>#REF!</f>
        <v>#REF!</v>
      </c>
      <c r="BM21" s="186"/>
      <c r="BN21" s="186"/>
      <c r="BO21" s="186"/>
      <c r="BP21" s="186"/>
      <c r="BQ21" s="186"/>
      <c r="BR21" s="182" t="e">
        <f>#REF!</f>
        <v>#REF!</v>
      </c>
      <c r="BS21" s="183"/>
      <c r="BT21" s="183"/>
      <c r="BU21" s="183"/>
      <c r="BV21" s="183"/>
      <c r="BW21" s="184"/>
      <c r="BX21" s="182" t="e">
        <f>#REF!</f>
        <v>#REF!</v>
      </c>
      <c r="BY21" s="183"/>
      <c r="BZ21" s="183"/>
      <c r="CA21" s="183"/>
      <c r="CB21" s="183"/>
      <c r="CC21" s="184"/>
      <c r="CD21" s="182" t="e">
        <f>#REF!</f>
        <v>#REF!</v>
      </c>
      <c r="CE21" s="183"/>
      <c r="CF21" s="183"/>
      <c r="CG21" s="183"/>
      <c r="CH21" s="183"/>
      <c r="CI21" s="184"/>
      <c r="CJ21" s="182" t="e">
        <f>#REF!</f>
        <v>#REF!</v>
      </c>
      <c r="CK21" s="183"/>
      <c r="CL21" s="183"/>
      <c r="CM21" s="183"/>
      <c r="CN21" s="183"/>
      <c r="CO21" s="184"/>
    </row>
    <row r="22" spans="2:93" ht="45" customHeight="1" thickBot="1" x14ac:dyDescent="0.3">
      <c r="B22" s="187" t="str">
        <f>Master!C8</f>
        <v>Technical Knowledge</v>
      </c>
      <c r="C22" s="188"/>
      <c r="D22" s="189"/>
      <c r="AY22" s="11"/>
      <c r="AZ22" s="16" t="str">
        <f>B5</f>
        <v>CAL / OMI</v>
      </c>
      <c r="BA22" s="17" t="str">
        <f>B7</f>
        <v>UG or First Look</v>
      </c>
      <c r="BB22" s="17" t="str">
        <f>B9</f>
        <v>BB</v>
      </c>
      <c r="BC22" s="17" t="str">
        <f>B11</f>
        <v>FTTC</v>
      </c>
      <c r="BD22" s="17" t="str">
        <f>B13</f>
        <v>IPhone/Apps</v>
      </c>
      <c r="BE22" s="17" t="str">
        <f>B15</f>
        <v>Frames H1/H4</v>
      </c>
      <c r="BF22" s="16" t="str">
        <f>B23</f>
        <v>HHT</v>
      </c>
      <c r="BG22" s="17" t="str">
        <f>B25</f>
        <v>Broadband/Fibre</v>
      </c>
      <c r="BH22" s="17" t="str">
        <f>B27</f>
        <v>CAL OMI</v>
      </c>
      <c r="BI22" s="17" t="str">
        <f>B29</f>
        <v>UG</v>
      </c>
      <c r="BJ22" s="17" t="str">
        <f>B31</f>
        <v>IPhone</v>
      </c>
      <c r="BK22" s="17" t="str">
        <f>B33</f>
        <v>Frames</v>
      </c>
      <c r="BL22" s="16" t="e">
        <f>#REF!</f>
        <v>#REF!</v>
      </c>
      <c r="BM22" s="17" t="e">
        <f>#REF!</f>
        <v>#REF!</v>
      </c>
      <c r="BN22" s="17" t="e">
        <f>#REF!</f>
        <v>#REF!</v>
      </c>
      <c r="BO22" s="17" t="e">
        <f>#REF!</f>
        <v>#REF!</v>
      </c>
      <c r="BP22" s="17" t="e">
        <f>#REF!</f>
        <v>#REF!</v>
      </c>
      <c r="BQ22" s="17" t="e">
        <f>#REF!</f>
        <v>#REF!</v>
      </c>
      <c r="BR22" s="16" t="e">
        <f>#REF!</f>
        <v>#REF!</v>
      </c>
      <c r="BS22" s="17" t="e">
        <f>#REF!</f>
        <v>#REF!</v>
      </c>
      <c r="BT22" s="17" t="e">
        <f>#REF!</f>
        <v>#REF!</v>
      </c>
      <c r="BU22" s="17" t="e">
        <f>#REF!</f>
        <v>#REF!</v>
      </c>
      <c r="BV22" s="17" t="e">
        <f>#REF!</f>
        <v>#REF!</v>
      </c>
      <c r="BW22" s="17" t="e">
        <f>#REF!</f>
        <v>#REF!</v>
      </c>
      <c r="BX22" s="16" t="e">
        <f>#REF!</f>
        <v>#REF!</v>
      </c>
      <c r="BY22" s="17" t="e">
        <f>#REF!</f>
        <v>#REF!</v>
      </c>
      <c r="BZ22" s="17" t="e">
        <f>#REF!</f>
        <v>#REF!</v>
      </c>
      <c r="CA22" s="17" t="e">
        <f>#REF!</f>
        <v>#REF!</v>
      </c>
      <c r="CB22" s="17" t="e">
        <f>#REF!</f>
        <v>#REF!</v>
      </c>
      <c r="CC22" s="17" t="e">
        <f>#REF!</f>
        <v>#REF!</v>
      </c>
      <c r="CD22" s="16" t="e">
        <f>#REF!</f>
        <v>#REF!</v>
      </c>
      <c r="CE22" s="17" t="e">
        <f>#REF!</f>
        <v>#REF!</v>
      </c>
      <c r="CF22" s="17" t="e">
        <f>#REF!</f>
        <v>#REF!</v>
      </c>
      <c r="CG22" s="17" t="e">
        <f>#REF!</f>
        <v>#REF!</v>
      </c>
      <c r="CH22" s="17" t="e">
        <f>#REF!</f>
        <v>#REF!</v>
      </c>
      <c r="CI22" s="17" t="e">
        <f>#REF!</f>
        <v>#REF!</v>
      </c>
      <c r="CJ22" s="16" t="e">
        <f>#REF!</f>
        <v>#REF!</v>
      </c>
      <c r="CK22" s="17" t="e">
        <f>#REF!</f>
        <v>#REF!</v>
      </c>
      <c r="CL22" s="17" t="e">
        <f>#REF!</f>
        <v>#REF!</v>
      </c>
      <c r="CM22" s="17" t="e">
        <f>#REF!</f>
        <v>#REF!</v>
      </c>
      <c r="CN22" s="17" t="e">
        <f>#REF!</f>
        <v>#REF!</v>
      </c>
      <c r="CO22" s="18" t="e">
        <f>#REF!</f>
        <v>#REF!</v>
      </c>
    </row>
    <row r="23" spans="2:93" ht="45" customHeight="1" thickBot="1" x14ac:dyDescent="0.3">
      <c r="B23" s="40" t="str">
        <f>Master!C9</f>
        <v>HHT</v>
      </c>
      <c r="C23" s="166" t="s">
        <v>39</v>
      </c>
      <c r="D23" s="167"/>
      <c r="G23" s="3"/>
      <c r="AY23" s="11"/>
      <c r="AZ23" s="13" t="e">
        <f>VLOOKUP(B6,$BW1:$BX2,2,FALSE)</f>
        <v>#N/A</v>
      </c>
      <c r="BA23" s="14" t="e">
        <f>VLOOKUP(B8,$BW1:$BX2,2,FALSE)</f>
        <v>#N/A</v>
      </c>
      <c r="BB23" s="14" t="e">
        <f>VLOOKUP(B10,$BW1:$BX2,2,FALSE)</f>
        <v>#N/A</v>
      </c>
      <c r="BC23" s="14" t="e">
        <f>VLOOKUP(B12,$BW1:$BX2,2,FALSE)</f>
        <v>#N/A</v>
      </c>
      <c r="BD23" s="14" t="e">
        <f>VLOOKUP(B14,$BW1:$BX2,2,FALSE)</f>
        <v>#N/A</v>
      </c>
      <c r="BE23" s="15" t="e">
        <f>VLOOKUP(B16,$BW1:$BX2,2,FALSE)</f>
        <v>#N/A</v>
      </c>
      <c r="BF23" s="17" t="e">
        <f>VLOOKUP(B24,$CA1:$CB5,2,FALSE)</f>
        <v>#N/A</v>
      </c>
      <c r="BG23" s="17" t="e">
        <f>VLOOKUP(B26,$CA1:$CB5,2,FALSE)</f>
        <v>#N/A</v>
      </c>
      <c r="BH23" s="17" t="e">
        <f>VLOOKUP(B28,$CA1:$CB5,2,FALSE)</f>
        <v>#N/A</v>
      </c>
      <c r="BI23" s="17" t="e">
        <f>VLOOKUP(B30,$CA1:$CB5,2,FALSE)</f>
        <v>#N/A</v>
      </c>
      <c r="BJ23" s="17" t="e">
        <f>VLOOKUP(B32,$CA1:$CB5,2,FALSE)</f>
        <v>#N/A</v>
      </c>
      <c r="BK23" s="18" t="e">
        <f>VLOOKUP(B34,$CA1:$CB5,2,FALSE)</f>
        <v>#N/A</v>
      </c>
      <c r="BL23" s="17" t="e">
        <f>VLOOKUP(#REF!,$CA1:$CB5,2,FALSE)</f>
        <v>#REF!</v>
      </c>
      <c r="BM23" s="17" t="e">
        <f>VLOOKUP(#REF!,$CA1:$CB5,2,FALSE)</f>
        <v>#REF!</v>
      </c>
      <c r="BN23" s="17" t="e">
        <f>VLOOKUP(#REF!,$CA1:$CB5,2,FALSE)</f>
        <v>#REF!</v>
      </c>
      <c r="BO23" s="17" t="e">
        <f>VLOOKUP(#REF!,$CA1:$CB5,2,FALSE)</f>
        <v>#REF!</v>
      </c>
      <c r="BP23" s="17" t="e">
        <f>VLOOKUP(#REF!,$CA1:$CB5,2,FALSE)</f>
        <v>#REF!</v>
      </c>
      <c r="BQ23" s="18" t="e">
        <f>VLOOKUP(#REF!,$CA1:$CB5,2,FALSE)</f>
        <v>#REF!</v>
      </c>
      <c r="BR23" s="17" t="e">
        <f>VLOOKUP(#REF!,$CA1:$CB5,2,FALSE)</f>
        <v>#REF!</v>
      </c>
      <c r="BS23" s="17" t="e">
        <f>VLOOKUP(#REF!,$CA1:$CB5,2,FALSE)</f>
        <v>#REF!</v>
      </c>
      <c r="BT23" s="17" t="e">
        <f>VLOOKUP(#REF!,$CA1:$CB5,2,FALSE)</f>
        <v>#REF!</v>
      </c>
      <c r="BU23" s="17" t="e">
        <f>VLOOKUP(#REF!,$CA1:$CB5,2,FALSE)</f>
        <v>#REF!</v>
      </c>
      <c r="BV23" s="17" t="e">
        <f>VLOOKUP(#REF!,$CA1:$CB5,2,FALSE)</f>
        <v>#REF!</v>
      </c>
      <c r="BW23" s="18" t="e">
        <f>VLOOKUP(#REF!,$CA1:$CB5,2,FALSE)</f>
        <v>#REF!</v>
      </c>
      <c r="BX23" s="17" t="e">
        <f>VLOOKUP(#REF!,$CA1:$CB5,2,FALSE)</f>
        <v>#REF!</v>
      </c>
      <c r="BY23" s="17" t="e">
        <f>VLOOKUP(#REF!,$CA1:$CB5,2,FALSE)</f>
        <v>#REF!</v>
      </c>
      <c r="BZ23" s="17" t="e">
        <f>VLOOKUP(#REF!,$CA1:$CB5,2,FALSE)</f>
        <v>#REF!</v>
      </c>
      <c r="CA23" s="17" t="e">
        <f>VLOOKUP(#REF!,$CA1:$CB5,2,FALSE)</f>
        <v>#REF!</v>
      </c>
      <c r="CB23" s="17" t="e">
        <f>VLOOKUP(#REF!,$CA1:$CB5,2,FALSE)</f>
        <v>#REF!</v>
      </c>
      <c r="CC23" s="18" t="e">
        <f>VLOOKUP(#REF!,$CA1:$CB5,2,FALSE)</f>
        <v>#REF!</v>
      </c>
      <c r="CD23" s="17" t="e">
        <f>VLOOKUP(#REF!,$CA1:$CB5,2,FALSE)</f>
        <v>#REF!</v>
      </c>
      <c r="CE23" s="17" t="e">
        <f>VLOOKUP(#REF!,$CA1:$CB5,2,FALSE)</f>
        <v>#REF!</v>
      </c>
      <c r="CF23" s="17" t="e">
        <f>VLOOKUP(#REF!,$CA1:$CB5,2,FALSE)</f>
        <v>#REF!</v>
      </c>
      <c r="CG23" s="17" t="e">
        <f>VLOOKUP(#REF!,$CA1:$CB5,2,FALSE)</f>
        <v>#REF!</v>
      </c>
      <c r="CH23" s="17" t="e">
        <f>VLOOKUP(#REF!,$CA1:$CB5,2,FALSE)</f>
        <v>#REF!</v>
      </c>
      <c r="CI23" s="18" t="e">
        <f>VLOOKUP(#REF!,$CA1:$CB5,2,FALSE)</f>
        <v>#REF!</v>
      </c>
      <c r="CJ23" s="17" t="e">
        <f>VLOOKUP(#REF!,$CA1:$CB5,2,FALSE)</f>
        <v>#REF!</v>
      </c>
      <c r="CK23" s="17" t="e">
        <f>VLOOKUP(#REF!,$CA1:$CB5,2,FALSE)</f>
        <v>#REF!</v>
      </c>
      <c r="CL23" s="17" t="e">
        <f>VLOOKUP(#REF!,$CA1:$CB5,2,FALSE)</f>
        <v>#REF!</v>
      </c>
      <c r="CM23" s="17" t="e">
        <f>VLOOKUP(#REF!,$CA1:$CB5,2,FALSE)</f>
        <v>#REF!</v>
      </c>
      <c r="CN23" s="17" t="e">
        <f>VLOOKUP(#REF!,$CA1:$CB5,2,FALSE)</f>
        <v>#REF!</v>
      </c>
      <c r="CO23" s="18" t="e">
        <f>VLOOKUP(#REF!,$CA1:$CB5,2,FALSE)</f>
        <v>#REF!</v>
      </c>
    </row>
    <row r="24" spans="2:93" ht="45" customHeight="1" thickBot="1" x14ac:dyDescent="0.3">
      <c r="B24" s="39"/>
      <c r="C24" s="168"/>
      <c r="D24" s="169"/>
      <c r="G24" s="3"/>
      <c r="AY24" s="11"/>
      <c r="BF24" s="8" t="e">
        <f>BF23</f>
        <v>#N/A</v>
      </c>
      <c r="BG24" s="9" t="e">
        <f t="shared" ref="BG24:CO29" si="0">BG23</f>
        <v>#N/A</v>
      </c>
      <c r="BH24" s="9" t="e">
        <f t="shared" si="0"/>
        <v>#N/A</v>
      </c>
      <c r="BI24" s="9" t="e">
        <f t="shared" si="0"/>
        <v>#N/A</v>
      </c>
      <c r="BJ24" s="9" t="e">
        <f t="shared" si="0"/>
        <v>#N/A</v>
      </c>
      <c r="BK24" s="10" t="e">
        <f t="shared" si="0"/>
        <v>#N/A</v>
      </c>
      <c r="BL24" s="11" t="e">
        <f t="shared" si="0"/>
        <v>#REF!</v>
      </c>
      <c r="BM24" s="11" t="e">
        <f t="shared" si="0"/>
        <v>#REF!</v>
      </c>
      <c r="BN24" s="11" t="e">
        <f t="shared" si="0"/>
        <v>#REF!</v>
      </c>
      <c r="BO24" s="11" t="e">
        <f t="shared" si="0"/>
        <v>#REF!</v>
      </c>
      <c r="BP24" s="11" t="e">
        <f t="shared" si="0"/>
        <v>#REF!</v>
      </c>
      <c r="BQ24" s="12" t="e">
        <f t="shared" si="0"/>
        <v>#REF!</v>
      </c>
      <c r="BR24" s="11" t="e">
        <f t="shared" si="0"/>
        <v>#REF!</v>
      </c>
      <c r="BS24" s="11" t="e">
        <f t="shared" si="0"/>
        <v>#REF!</v>
      </c>
      <c r="BT24" s="11" t="e">
        <f t="shared" si="0"/>
        <v>#REF!</v>
      </c>
      <c r="BU24" s="11" t="e">
        <f t="shared" si="0"/>
        <v>#REF!</v>
      </c>
      <c r="BV24" s="11" t="e">
        <f t="shared" si="0"/>
        <v>#REF!</v>
      </c>
      <c r="BW24" s="12" t="e">
        <f t="shared" si="0"/>
        <v>#REF!</v>
      </c>
      <c r="BX24" s="11" t="e">
        <f t="shared" si="0"/>
        <v>#REF!</v>
      </c>
      <c r="BY24" s="11" t="e">
        <f t="shared" si="0"/>
        <v>#REF!</v>
      </c>
      <c r="BZ24" s="11" t="e">
        <f t="shared" si="0"/>
        <v>#REF!</v>
      </c>
      <c r="CA24" s="11" t="e">
        <f t="shared" si="0"/>
        <v>#REF!</v>
      </c>
      <c r="CB24" s="11" t="e">
        <f t="shared" si="0"/>
        <v>#REF!</v>
      </c>
      <c r="CC24" s="12" t="e">
        <f t="shared" si="0"/>
        <v>#REF!</v>
      </c>
      <c r="CD24" s="11" t="e">
        <f t="shared" si="0"/>
        <v>#REF!</v>
      </c>
      <c r="CE24" s="11" t="e">
        <f t="shared" si="0"/>
        <v>#REF!</v>
      </c>
      <c r="CF24" s="11" t="e">
        <f t="shared" si="0"/>
        <v>#REF!</v>
      </c>
      <c r="CG24" s="11" t="e">
        <f t="shared" si="0"/>
        <v>#REF!</v>
      </c>
      <c r="CH24" s="11" t="e">
        <f t="shared" si="0"/>
        <v>#REF!</v>
      </c>
      <c r="CI24" s="12" t="e">
        <f t="shared" si="0"/>
        <v>#REF!</v>
      </c>
      <c r="CJ24" s="11" t="e">
        <f t="shared" si="0"/>
        <v>#REF!</v>
      </c>
      <c r="CK24" s="11" t="e">
        <f t="shared" si="0"/>
        <v>#REF!</v>
      </c>
      <c r="CL24" s="11" t="e">
        <f t="shared" si="0"/>
        <v>#REF!</v>
      </c>
      <c r="CM24" s="11" t="e">
        <f t="shared" si="0"/>
        <v>#REF!</v>
      </c>
      <c r="CN24" s="11" t="e">
        <f t="shared" si="0"/>
        <v>#REF!</v>
      </c>
      <c r="CO24" s="12" t="e">
        <f t="shared" si="0"/>
        <v>#REF!</v>
      </c>
    </row>
    <row r="25" spans="2:93" ht="45" customHeight="1" thickBot="1" x14ac:dyDescent="0.3">
      <c r="B25" s="41" t="str">
        <f>Master!D9</f>
        <v>Broadband/Fibre</v>
      </c>
      <c r="C25" s="166" t="s">
        <v>40</v>
      </c>
      <c r="D25" s="167"/>
      <c r="BF25" s="11"/>
      <c r="BG25" s="11"/>
      <c r="BH25" s="11"/>
      <c r="BI25" s="11"/>
      <c r="BJ25" s="11"/>
      <c r="BK25" s="11"/>
      <c r="BL25" s="8" t="e">
        <f>BL24</f>
        <v>#REF!</v>
      </c>
      <c r="BM25" s="9" t="e">
        <f t="shared" si="0"/>
        <v>#REF!</v>
      </c>
      <c r="BN25" s="9" t="e">
        <f t="shared" si="0"/>
        <v>#REF!</v>
      </c>
      <c r="BO25" s="9" t="e">
        <f t="shared" si="0"/>
        <v>#REF!</v>
      </c>
      <c r="BP25" s="9" t="e">
        <f t="shared" si="0"/>
        <v>#REF!</v>
      </c>
      <c r="BQ25" s="10" t="e">
        <f t="shared" si="0"/>
        <v>#REF!</v>
      </c>
      <c r="BR25" s="11" t="e">
        <f t="shared" si="0"/>
        <v>#REF!</v>
      </c>
      <c r="BS25" s="11" t="e">
        <f t="shared" si="0"/>
        <v>#REF!</v>
      </c>
      <c r="BT25" s="11" t="e">
        <f t="shared" si="0"/>
        <v>#REF!</v>
      </c>
      <c r="BU25" s="11" t="e">
        <f t="shared" si="0"/>
        <v>#REF!</v>
      </c>
      <c r="BV25" s="11" t="e">
        <f t="shared" si="0"/>
        <v>#REF!</v>
      </c>
      <c r="BW25" s="12" t="e">
        <f t="shared" si="0"/>
        <v>#REF!</v>
      </c>
      <c r="BX25" s="11" t="e">
        <f t="shared" si="0"/>
        <v>#REF!</v>
      </c>
      <c r="BY25" s="11" t="e">
        <f t="shared" si="0"/>
        <v>#REF!</v>
      </c>
      <c r="BZ25" s="11" t="e">
        <f t="shared" si="0"/>
        <v>#REF!</v>
      </c>
      <c r="CA25" s="11" t="e">
        <f t="shared" si="0"/>
        <v>#REF!</v>
      </c>
      <c r="CB25" s="11" t="e">
        <f t="shared" si="0"/>
        <v>#REF!</v>
      </c>
      <c r="CC25" s="12" t="e">
        <f t="shared" si="0"/>
        <v>#REF!</v>
      </c>
      <c r="CD25" s="11" t="e">
        <f t="shared" si="0"/>
        <v>#REF!</v>
      </c>
      <c r="CE25" s="11" t="e">
        <f t="shared" si="0"/>
        <v>#REF!</v>
      </c>
      <c r="CF25" s="11" t="e">
        <f t="shared" si="0"/>
        <v>#REF!</v>
      </c>
      <c r="CG25" s="11" t="e">
        <f t="shared" si="0"/>
        <v>#REF!</v>
      </c>
      <c r="CH25" s="11" t="e">
        <f t="shared" si="0"/>
        <v>#REF!</v>
      </c>
      <c r="CI25" s="12" t="e">
        <f t="shared" si="0"/>
        <v>#REF!</v>
      </c>
      <c r="CJ25" s="11" t="e">
        <f t="shared" si="0"/>
        <v>#REF!</v>
      </c>
      <c r="CK25" s="11" t="e">
        <f t="shared" si="0"/>
        <v>#REF!</v>
      </c>
      <c r="CL25" s="11" t="e">
        <f t="shared" si="0"/>
        <v>#REF!</v>
      </c>
      <c r="CM25" s="11" t="e">
        <f t="shared" si="0"/>
        <v>#REF!</v>
      </c>
      <c r="CN25" s="11" t="e">
        <f t="shared" si="0"/>
        <v>#REF!</v>
      </c>
      <c r="CO25" s="12" t="e">
        <f t="shared" si="0"/>
        <v>#REF!</v>
      </c>
    </row>
    <row r="26" spans="2:93" ht="45" customHeight="1" thickBot="1" x14ac:dyDescent="0.3">
      <c r="B26" s="39"/>
      <c r="C26" s="168"/>
      <c r="D26" s="169"/>
      <c r="BF26" s="11"/>
      <c r="BG26" s="11"/>
      <c r="BH26" s="11"/>
      <c r="BI26" s="11"/>
      <c r="BJ26" s="11"/>
      <c r="BK26" s="11"/>
      <c r="BL26" s="11"/>
      <c r="BM26" s="11"/>
      <c r="BN26" s="11"/>
      <c r="BO26" s="11"/>
      <c r="BP26" s="11"/>
      <c r="BQ26" s="11"/>
      <c r="BR26" s="8" t="e">
        <f>BR25</f>
        <v>#REF!</v>
      </c>
      <c r="BS26" s="9" t="e">
        <f t="shared" si="0"/>
        <v>#REF!</v>
      </c>
      <c r="BT26" s="9" t="e">
        <f t="shared" si="0"/>
        <v>#REF!</v>
      </c>
      <c r="BU26" s="9" t="e">
        <f t="shared" si="0"/>
        <v>#REF!</v>
      </c>
      <c r="BV26" s="9" t="e">
        <f t="shared" si="0"/>
        <v>#REF!</v>
      </c>
      <c r="BW26" s="10" t="e">
        <f t="shared" si="0"/>
        <v>#REF!</v>
      </c>
      <c r="BX26" s="11" t="e">
        <f t="shared" si="0"/>
        <v>#REF!</v>
      </c>
      <c r="BY26" s="11" t="e">
        <f t="shared" si="0"/>
        <v>#REF!</v>
      </c>
      <c r="BZ26" s="11" t="e">
        <f t="shared" si="0"/>
        <v>#REF!</v>
      </c>
      <c r="CA26" s="11" t="e">
        <f t="shared" si="0"/>
        <v>#REF!</v>
      </c>
      <c r="CB26" s="11" t="e">
        <f t="shared" si="0"/>
        <v>#REF!</v>
      </c>
      <c r="CC26" s="12" t="e">
        <f t="shared" si="0"/>
        <v>#REF!</v>
      </c>
      <c r="CD26" s="11" t="e">
        <f t="shared" si="0"/>
        <v>#REF!</v>
      </c>
      <c r="CE26" s="11" t="e">
        <f t="shared" si="0"/>
        <v>#REF!</v>
      </c>
      <c r="CF26" s="11" t="e">
        <f t="shared" si="0"/>
        <v>#REF!</v>
      </c>
      <c r="CG26" s="11" t="e">
        <f t="shared" si="0"/>
        <v>#REF!</v>
      </c>
      <c r="CH26" s="11" t="e">
        <f t="shared" si="0"/>
        <v>#REF!</v>
      </c>
      <c r="CI26" s="12" t="e">
        <f t="shared" si="0"/>
        <v>#REF!</v>
      </c>
      <c r="CJ26" s="11" t="e">
        <f t="shared" si="0"/>
        <v>#REF!</v>
      </c>
      <c r="CK26" s="11" t="e">
        <f t="shared" si="0"/>
        <v>#REF!</v>
      </c>
      <c r="CL26" s="11" t="e">
        <f t="shared" si="0"/>
        <v>#REF!</v>
      </c>
      <c r="CM26" s="11" t="e">
        <f t="shared" si="0"/>
        <v>#REF!</v>
      </c>
      <c r="CN26" s="11" t="e">
        <f t="shared" si="0"/>
        <v>#REF!</v>
      </c>
      <c r="CO26" s="12" t="e">
        <f t="shared" si="0"/>
        <v>#REF!</v>
      </c>
    </row>
    <row r="27" spans="2:93" ht="45" customHeight="1" thickBot="1" x14ac:dyDescent="0.3">
      <c r="B27" s="41" t="str">
        <f>Master!E9</f>
        <v>CAL OMI</v>
      </c>
      <c r="C27" s="166" t="s">
        <v>781</v>
      </c>
      <c r="D27" s="167"/>
      <c r="BF27" s="11"/>
      <c r="BG27" s="11"/>
      <c r="BH27" s="11"/>
      <c r="BI27" s="11"/>
      <c r="BJ27" s="11"/>
      <c r="BK27" s="11"/>
      <c r="BL27" s="11"/>
      <c r="BM27" s="11"/>
      <c r="BN27" s="11"/>
      <c r="BO27" s="11"/>
      <c r="BP27" s="11"/>
      <c r="BQ27" s="11"/>
      <c r="BR27" s="11"/>
      <c r="BS27" s="11"/>
      <c r="BT27" s="11"/>
      <c r="BU27" s="11"/>
      <c r="BV27" s="11"/>
      <c r="BW27" s="11"/>
      <c r="BX27" s="8" t="e">
        <f>BX26</f>
        <v>#REF!</v>
      </c>
      <c r="BY27" s="9" t="e">
        <f t="shared" si="0"/>
        <v>#REF!</v>
      </c>
      <c r="BZ27" s="9" t="e">
        <f t="shared" si="0"/>
        <v>#REF!</v>
      </c>
      <c r="CA27" s="9" t="e">
        <f t="shared" si="0"/>
        <v>#REF!</v>
      </c>
      <c r="CB27" s="9" t="e">
        <f t="shared" si="0"/>
        <v>#REF!</v>
      </c>
      <c r="CC27" s="10" t="e">
        <f t="shared" si="0"/>
        <v>#REF!</v>
      </c>
      <c r="CD27" s="11" t="e">
        <f t="shared" si="0"/>
        <v>#REF!</v>
      </c>
      <c r="CE27" s="11" t="e">
        <f t="shared" si="0"/>
        <v>#REF!</v>
      </c>
      <c r="CF27" s="11" t="e">
        <f t="shared" si="0"/>
        <v>#REF!</v>
      </c>
      <c r="CG27" s="11" t="e">
        <f t="shared" si="0"/>
        <v>#REF!</v>
      </c>
      <c r="CH27" s="11" t="e">
        <f t="shared" si="0"/>
        <v>#REF!</v>
      </c>
      <c r="CI27" s="12" t="e">
        <f t="shared" si="0"/>
        <v>#REF!</v>
      </c>
      <c r="CJ27" s="11" t="e">
        <f t="shared" si="0"/>
        <v>#REF!</v>
      </c>
      <c r="CK27" s="11" t="e">
        <f t="shared" si="0"/>
        <v>#REF!</v>
      </c>
      <c r="CL27" s="11" t="e">
        <f t="shared" si="0"/>
        <v>#REF!</v>
      </c>
      <c r="CM27" s="11" t="e">
        <f t="shared" si="0"/>
        <v>#REF!</v>
      </c>
      <c r="CN27" s="11" t="e">
        <f t="shared" si="0"/>
        <v>#REF!</v>
      </c>
      <c r="CO27" s="12" t="e">
        <f t="shared" si="0"/>
        <v>#REF!</v>
      </c>
    </row>
    <row r="28" spans="2:93" ht="45" customHeight="1" thickBot="1" x14ac:dyDescent="0.3">
      <c r="B28" s="39"/>
      <c r="C28" s="168"/>
      <c r="D28" s="169"/>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8" t="e">
        <f>CD27</f>
        <v>#REF!</v>
      </c>
      <c r="CE28" s="9" t="e">
        <f t="shared" si="0"/>
        <v>#REF!</v>
      </c>
      <c r="CF28" s="9" t="e">
        <f t="shared" si="0"/>
        <v>#REF!</v>
      </c>
      <c r="CG28" s="9" t="e">
        <f t="shared" si="0"/>
        <v>#REF!</v>
      </c>
      <c r="CH28" s="9" t="e">
        <f t="shared" si="0"/>
        <v>#REF!</v>
      </c>
      <c r="CI28" s="10" t="e">
        <f t="shared" si="0"/>
        <v>#REF!</v>
      </c>
      <c r="CJ28" s="11" t="e">
        <f t="shared" si="0"/>
        <v>#REF!</v>
      </c>
      <c r="CK28" s="11" t="e">
        <f t="shared" si="0"/>
        <v>#REF!</v>
      </c>
      <c r="CL28" s="11" t="e">
        <f t="shared" si="0"/>
        <v>#REF!</v>
      </c>
      <c r="CM28" s="11" t="e">
        <f t="shared" si="0"/>
        <v>#REF!</v>
      </c>
      <c r="CN28" s="11" t="e">
        <f t="shared" si="0"/>
        <v>#REF!</v>
      </c>
      <c r="CO28" s="12" t="e">
        <f t="shared" si="0"/>
        <v>#REF!</v>
      </c>
    </row>
    <row r="29" spans="2:93" ht="45" customHeight="1" thickBot="1" x14ac:dyDescent="0.3">
      <c r="B29" s="41" t="str">
        <f>Master!F9</f>
        <v>UG</v>
      </c>
      <c r="C29" s="166" t="s">
        <v>782</v>
      </c>
      <c r="D29" s="167"/>
      <c r="H29" s="3"/>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8" t="e">
        <f>CJ28</f>
        <v>#REF!</v>
      </c>
      <c r="CK29" s="9" t="e">
        <f t="shared" si="0"/>
        <v>#REF!</v>
      </c>
      <c r="CL29" s="9" t="e">
        <f t="shared" si="0"/>
        <v>#REF!</v>
      </c>
      <c r="CM29" s="9" t="e">
        <f t="shared" si="0"/>
        <v>#REF!</v>
      </c>
      <c r="CN29" s="9" t="e">
        <f t="shared" si="0"/>
        <v>#REF!</v>
      </c>
      <c r="CO29" s="10" t="e">
        <f t="shared" si="0"/>
        <v>#REF!</v>
      </c>
    </row>
    <row r="30" spans="2:93" ht="45" customHeight="1" thickBot="1" x14ac:dyDescent="0.3">
      <c r="B30" s="39"/>
      <c r="C30" s="168"/>
      <c r="D30" s="169"/>
      <c r="H30" s="3"/>
      <c r="AZ30" s="2">
        <v>0.75</v>
      </c>
      <c r="BA30" s="2">
        <v>0.75</v>
      </c>
      <c r="BB30" s="2">
        <v>0.75</v>
      </c>
      <c r="BC30" s="2">
        <v>0.75</v>
      </c>
      <c r="BD30" s="2">
        <v>0.75</v>
      </c>
      <c r="BE30" s="2">
        <v>0.75</v>
      </c>
      <c r="BF30" s="2">
        <v>0.75</v>
      </c>
      <c r="BG30" s="2">
        <v>0.75</v>
      </c>
      <c r="BH30" s="2">
        <v>0.75</v>
      </c>
      <c r="BI30" s="2">
        <v>0.75</v>
      </c>
      <c r="BJ30" s="2">
        <v>0.75</v>
      </c>
      <c r="BK30" s="2">
        <v>0.75</v>
      </c>
      <c r="BL30" s="2">
        <v>0.75</v>
      </c>
      <c r="BM30" s="2">
        <v>0.75</v>
      </c>
      <c r="BN30" s="2">
        <v>0.75</v>
      </c>
      <c r="BO30" s="2">
        <v>0.75</v>
      </c>
      <c r="BP30" s="2">
        <v>0.75</v>
      </c>
      <c r="BQ30" s="2">
        <v>0.75</v>
      </c>
      <c r="BR30" s="2">
        <v>0.75</v>
      </c>
      <c r="BS30" s="2">
        <v>0.75</v>
      </c>
      <c r="BT30" s="2">
        <v>0.75</v>
      </c>
      <c r="BU30" s="2">
        <v>0.75</v>
      </c>
      <c r="BV30" s="2">
        <v>0.75</v>
      </c>
      <c r="BW30" s="2">
        <v>0.75</v>
      </c>
      <c r="BX30" s="2">
        <v>0.75</v>
      </c>
      <c r="BY30" s="2">
        <v>0.75</v>
      </c>
      <c r="BZ30" s="2">
        <v>0.75</v>
      </c>
      <c r="CA30" s="2">
        <v>0.75</v>
      </c>
      <c r="CB30" s="2">
        <v>0.75</v>
      </c>
      <c r="CC30" s="2">
        <v>0.75</v>
      </c>
      <c r="CD30" s="2">
        <v>0.75</v>
      </c>
      <c r="CE30" s="2">
        <v>0.75</v>
      </c>
      <c r="CF30" s="2">
        <v>0.75</v>
      </c>
      <c r="CG30" s="2">
        <v>0.75</v>
      </c>
      <c r="CH30" s="2">
        <v>0.75</v>
      </c>
      <c r="CI30" s="2">
        <v>0.75</v>
      </c>
      <c r="CJ30" s="2">
        <v>0.75</v>
      </c>
      <c r="CK30" s="2">
        <v>0.75</v>
      </c>
      <c r="CL30" s="2">
        <v>0.75</v>
      </c>
      <c r="CM30" s="2">
        <v>0.75</v>
      </c>
      <c r="CN30" s="2">
        <v>0.75</v>
      </c>
      <c r="CO30" s="2">
        <v>0.75</v>
      </c>
    </row>
    <row r="31" spans="2:93" ht="45" customHeight="1" x14ac:dyDescent="0.25">
      <c r="B31" s="41" t="str">
        <f>Master!G9</f>
        <v>IPhone</v>
      </c>
      <c r="C31" s="166" t="s">
        <v>41</v>
      </c>
      <c r="D31" s="167"/>
      <c r="H31" s="3"/>
      <c r="AZ31" s="2">
        <v>3.75</v>
      </c>
      <c r="BA31" s="2">
        <v>3.75</v>
      </c>
      <c r="BB31" s="2">
        <v>3.75</v>
      </c>
      <c r="BC31" s="2">
        <v>3.75</v>
      </c>
      <c r="BD31" s="2">
        <v>3.75</v>
      </c>
      <c r="BE31" s="2">
        <v>3.75</v>
      </c>
      <c r="BF31" s="2">
        <v>3.75</v>
      </c>
      <c r="BG31" s="2">
        <v>3.75</v>
      </c>
      <c r="BH31" s="2">
        <v>3.75</v>
      </c>
      <c r="BI31" s="2">
        <v>3.75</v>
      </c>
      <c r="BJ31" s="2">
        <v>3.75</v>
      </c>
      <c r="BK31" s="2">
        <v>3.75</v>
      </c>
      <c r="BL31" s="2">
        <v>3.75</v>
      </c>
      <c r="BM31" s="2">
        <v>3.75</v>
      </c>
      <c r="BN31" s="2">
        <v>3.75</v>
      </c>
      <c r="BO31" s="2">
        <v>3.75</v>
      </c>
      <c r="BP31" s="2">
        <v>3.75</v>
      </c>
      <c r="BQ31" s="2">
        <v>3.75</v>
      </c>
      <c r="BR31" s="2">
        <v>3.75</v>
      </c>
      <c r="BS31" s="2">
        <v>3.75</v>
      </c>
      <c r="BT31" s="2">
        <v>3.75</v>
      </c>
      <c r="BU31" s="2">
        <v>3.75</v>
      </c>
      <c r="BV31" s="2">
        <v>3.75</v>
      </c>
      <c r="BW31" s="2">
        <v>3.75</v>
      </c>
      <c r="BX31" s="2">
        <v>3.75</v>
      </c>
      <c r="BY31" s="2">
        <v>3.75</v>
      </c>
      <c r="BZ31" s="2">
        <v>3.75</v>
      </c>
      <c r="CA31" s="2">
        <v>3.75</v>
      </c>
      <c r="CB31" s="2">
        <v>3.75</v>
      </c>
      <c r="CC31" s="2">
        <v>3.75</v>
      </c>
      <c r="CD31" s="2">
        <v>3.75</v>
      </c>
      <c r="CE31" s="2">
        <v>3.75</v>
      </c>
      <c r="CF31" s="2">
        <v>3.75</v>
      </c>
      <c r="CG31" s="2">
        <v>3.75</v>
      </c>
      <c r="CH31" s="2">
        <v>3.75</v>
      </c>
      <c r="CI31" s="2">
        <v>3.75</v>
      </c>
      <c r="CJ31" s="2">
        <v>3.75</v>
      </c>
      <c r="CK31" s="2">
        <v>3.75</v>
      </c>
      <c r="CL31" s="2">
        <v>3.75</v>
      </c>
      <c r="CM31" s="2">
        <v>3.75</v>
      </c>
      <c r="CN31" s="2">
        <v>3.75</v>
      </c>
      <c r="CO31" s="2">
        <v>3.75</v>
      </c>
    </row>
    <row r="32" spans="2:93" ht="45" customHeight="1" thickBot="1" x14ac:dyDescent="0.3">
      <c r="B32" s="39"/>
      <c r="C32" s="168"/>
      <c r="D32" s="169"/>
      <c r="H32" s="3"/>
    </row>
    <row r="33" spans="2:8" ht="45" customHeight="1" x14ac:dyDescent="0.25">
      <c r="B33" s="41" t="str">
        <f>Master!H9</f>
        <v>Frames</v>
      </c>
      <c r="C33" s="166" t="s">
        <v>783</v>
      </c>
      <c r="D33" s="167"/>
      <c r="H33" s="3"/>
    </row>
    <row r="34" spans="2:8" ht="45" customHeight="1" thickBot="1" x14ac:dyDescent="0.3">
      <c r="B34" s="39"/>
      <c r="C34" s="168"/>
      <c r="D34" s="169"/>
      <c r="H34" s="3"/>
    </row>
    <row r="35" spans="2:8" ht="61.5" customHeight="1" thickBot="1" x14ac:dyDescent="0.3">
      <c r="B35" s="20" t="str">
        <f>IF(Results!$L$2="","Please enter your details on the Front Cover Tab before completing your notes below",Results!$L$2 &amp; "'s comments, anything you would like to take note off for your own reasons or to discuss with your manager")</f>
        <v>Please enter your details on the Front Cover Tab before completing your notes below</v>
      </c>
      <c r="C35" s="3"/>
      <c r="D35" s="3"/>
      <c r="E35" s="3"/>
      <c r="F35" s="3"/>
      <c r="G35" s="3"/>
      <c r="H35" s="3"/>
    </row>
    <row r="36" spans="2:8" ht="61.5" customHeight="1" x14ac:dyDescent="0.25">
      <c r="B36" s="173"/>
      <c r="C36" s="174"/>
      <c r="D36" s="174"/>
      <c r="E36" s="174"/>
      <c r="F36" s="174"/>
      <c r="G36" s="175"/>
      <c r="H36" s="3"/>
    </row>
    <row r="37" spans="2:8" ht="61.5" customHeight="1" x14ac:dyDescent="0.25">
      <c r="B37" s="176"/>
      <c r="C37" s="177"/>
      <c r="D37" s="177"/>
      <c r="E37" s="177"/>
      <c r="F37" s="177"/>
      <c r="G37" s="178"/>
      <c r="H37" s="3"/>
    </row>
    <row r="38" spans="2:8" ht="61.5" customHeight="1" x14ac:dyDescent="0.25">
      <c r="B38" s="176"/>
      <c r="C38" s="177"/>
      <c r="D38" s="177"/>
      <c r="E38" s="177"/>
      <c r="F38" s="177"/>
      <c r="G38" s="178"/>
      <c r="H38" s="3"/>
    </row>
    <row r="39" spans="2:8" ht="61.5" customHeight="1" x14ac:dyDescent="0.25">
      <c r="B39" s="176"/>
      <c r="C39" s="177"/>
      <c r="D39" s="177"/>
      <c r="E39" s="177"/>
      <c r="F39" s="177"/>
      <c r="G39" s="178"/>
      <c r="H39" s="3"/>
    </row>
    <row r="40" spans="2:8" ht="61.5" customHeight="1" x14ac:dyDescent="0.25">
      <c r="B40" s="176"/>
      <c r="C40" s="177"/>
      <c r="D40" s="177"/>
      <c r="E40" s="177"/>
      <c r="F40" s="177"/>
      <c r="G40" s="178"/>
      <c r="H40" s="3"/>
    </row>
    <row r="41" spans="2:8" ht="15.75" customHeight="1" thickBot="1" x14ac:dyDescent="0.3">
      <c r="B41" s="179"/>
      <c r="C41" s="180"/>
      <c r="D41" s="180"/>
      <c r="E41" s="180"/>
      <c r="F41" s="180"/>
      <c r="G41" s="181"/>
      <c r="H41" s="3"/>
    </row>
    <row r="42" spans="2:8" ht="30" customHeight="1" x14ac:dyDescent="0.25">
      <c r="H42" s="3"/>
    </row>
    <row r="43" spans="2:8" ht="30" customHeight="1" x14ac:dyDescent="0.25">
      <c r="H43" s="3"/>
    </row>
    <row r="44" spans="2:8" ht="30" customHeight="1" x14ac:dyDescent="0.25">
      <c r="H44" s="3"/>
    </row>
    <row r="45" spans="2:8" ht="30" customHeight="1" x14ac:dyDescent="0.25"/>
    <row r="46" spans="2:8" ht="30" customHeight="1" x14ac:dyDescent="0.25"/>
    <row r="47" spans="2:8" ht="30" customHeight="1" x14ac:dyDescent="0.25"/>
    <row r="48" spans="2:8" ht="15" customHeight="1" x14ac:dyDescent="0.25"/>
  </sheetData>
  <sheetProtection sheet="1" objects="1" scenarios="1" selectLockedCells="1"/>
  <mergeCells count="23">
    <mergeCell ref="B36:G41"/>
    <mergeCell ref="BX21:CC21"/>
    <mergeCell ref="CD21:CI21"/>
    <mergeCell ref="CJ21:CO21"/>
    <mergeCell ref="BL21:BQ21"/>
    <mergeCell ref="BR21:BW21"/>
    <mergeCell ref="B22:D22"/>
    <mergeCell ref="C23:D24"/>
    <mergeCell ref="C25:D26"/>
    <mergeCell ref="C27:D28"/>
    <mergeCell ref="C29:D30"/>
    <mergeCell ref="C31:D32"/>
    <mergeCell ref="C33:D34"/>
    <mergeCell ref="AZ21:BE21"/>
    <mergeCell ref="BF21:BK21"/>
    <mergeCell ref="C17:D18"/>
    <mergeCell ref="C13:D14"/>
    <mergeCell ref="C15:D16"/>
    <mergeCell ref="B4:D4"/>
    <mergeCell ref="C5:D6"/>
    <mergeCell ref="C7:D8"/>
    <mergeCell ref="C9:D10"/>
    <mergeCell ref="C11:D12"/>
  </mergeCells>
  <dataValidations count="3">
    <dataValidation type="list" allowBlank="1" showInputMessage="1" showErrorMessage="1" sqref="B24 B26 B28 B32 B30 E33:F34 B34">
      <formula1>List</formula1>
    </dataValidation>
    <dataValidation type="list" allowBlank="1" showInputMessage="1" showErrorMessage="1" sqref="B6 B8 B10 B12 B14 F7:G7 B16">
      <formula1>List3</formula1>
    </dataValidation>
    <dataValidation type="list" allowBlank="1" showInputMessage="1" showErrorMessage="1" sqref="B18">
      <formula1>"Yes,No"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H137"/>
  <sheetViews>
    <sheetView showGridLines="0" showRowColHeaders="0" workbookViewId="0">
      <selection activeCell="B14" sqref="B13:E17"/>
    </sheetView>
  </sheetViews>
  <sheetFormatPr defaultColWidth="9.28515625" defaultRowHeight="15" x14ac:dyDescent="0.25"/>
  <cols>
    <col min="1" max="1" width="3" style="76" customWidth="1"/>
    <col min="2" max="2" width="3" style="44" bestFit="1" customWidth="1"/>
    <col min="3" max="3" width="3.85546875" style="76" customWidth="1"/>
    <col min="4" max="4" width="97.85546875" style="76" customWidth="1"/>
    <col min="5" max="5" width="7.85546875" style="84" customWidth="1"/>
    <col min="6" max="7" width="7.85546875" style="76" hidden="1" customWidth="1"/>
    <col min="8" max="8" width="66.5703125" style="76" hidden="1" customWidth="1"/>
    <col min="9" max="9" width="9.28515625" style="76" customWidth="1"/>
    <col min="10" max="16384" width="9.28515625" style="76"/>
  </cols>
  <sheetData>
    <row r="1" spans="1:8" ht="46.5" x14ac:dyDescent="0.25">
      <c r="A1" s="83"/>
      <c r="D1" s="45" t="s">
        <v>146</v>
      </c>
    </row>
    <row r="3" spans="1:8" ht="15.75" thickBot="1" x14ac:dyDescent="0.3"/>
    <row r="4" spans="1:8" ht="19.5" thickBot="1" x14ac:dyDescent="0.3">
      <c r="B4" s="202" t="str">
        <f>IF('Engineer Self Assessment'!B18="Yes","Please answer all questions from below.  If you don’t know the answer don’t guess, leave it blank.","As you have said you do not have an HHT you do not need to complete this section.")</f>
        <v>As you have said you do not have an HHT you do not need to complete this section.</v>
      </c>
      <c r="C4" s="203"/>
      <c r="D4" s="203"/>
      <c r="E4" s="204"/>
    </row>
    <row r="5" spans="1:8" ht="32.25" thickBot="1" x14ac:dyDescent="0.3">
      <c r="H5" s="66" t="str">
        <f>"Your score - "&amp;Scoresheet!D7&amp;"/"&amp;Scoresheet!U7</f>
        <v>Your score - /30</v>
      </c>
    </row>
    <row r="6" spans="1:8" x14ac:dyDescent="0.25">
      <c r="C6" s="77"/>
    </row>
    <row r="7" spans="1:8" ht="15.75" thickBot="1" x14ac:dyDescent="0.3">
      <c r="B7" s="199"/>
      <c r="C7" s="199"/>
      <c r="D7" s="199"/>
    </row>
    <row r="8" spans="1:8" x14ac:dyDescent="0.25">
      <c r="B8" s="46">
        <v>1</v>
      </c>
      <c r="C8" s="78" t="s">
        <v>42</v>
      </c>
      <c r="D8" s="85"/>
      <c r="E8" s="191"/>
      <c r="F8" s="194" t="str">
        <f>IF(E8="","",IF(G8=E8,1,0))</f>
        <v/>
      </c>
      <c r="G8" s="194" t="s">
        <v>226</v>
      </c>
      <c r="H8" s="197" t="str">
        <f>IF(F8&lt;&gt;1,"Incorrect:  Please be aware that you should never carry the tester up the ladders with you when climbing, it should always be raised and lowered in your tool bag using the bass line.",IF(F8=1,"Correct",""))</f>
        <v>Incorrect:  Please be aware that you should never carry the tester up the ladders with you when climbing, it should always be raised and lowered in your tool bag using the bass line.</v>
      </c>
    </row>
    <row r="9" spans="1:8" x14ac:dyDescent="0.25">
      <c r="B9" s="47"/>
      <c r="C9" s="72" t="s">
        <v>43</v>
      </c>
      <c r="D9" s="69" t="s">
        <v>245</v>
      </c>
      <c r="E9" s="192"/>
      <c r="F9" s="195"/>
      <c r="G9" s="195"/>
      <c r="H9" s="198"/>
    </row>
    <row r="10" spans="1:8" x14ac:dyDescent="0.25">
      <c r="B10" s="47"/>
      <c r="C10" s="72" t="s">
        <v>44</v>
      </c>
      <c r="D10" s="69" t="s">
        <v>244</v>
      </c>
      <c r="E10" s="192"/>
      <c r="F10" s="195"/>
      <c r="G10" s="195"/>
      <c r="H10" s="198"/>
    </row>
    <row r="11" spans="1:8" x14ac:dyDescent="0.25">
      <c r="B11" s="47"/>
      <c r="C11" s="72" t="s">
        <v>45</v>
      </c>
      <c r="D11" s="69" t="s">
        <v>65</v>
      </c>
      <c r="E11" s="192"/>
      <c r="F11" s="195"/>
      <c r="G11" s="195"/>
      <c r="H11" s="198"/>
    </row>
    <row r="12" spans="1:8" ht="15.75" thickBot="1" x14ac:dyDescent="0.3">
      <c r="B12" s="47"/>
      <c r="C12" s="72" t="s">
        <v>226</v>
      </c>
      <c r="D12" s="86" t="s">
        <v>46</v>
      </c>
      <c r="E12" s="192"/>
      <c r="F12" s="195"/>
      <c r="G12" s="195"/>
      <c r="H12" s="198"/>
    </row>
    <row r="13" spans="1:8" x14ac:dyDescent="0.25">
      <c r="B13" s="46">
        <v>2</v>
      </c>
      <c r="C13" s="79" t="s">
        <v>48</v>
      </c>
      <c r="D13" s="85"/>
      <c r="E13" s="191"/>
      <c r="F13" s="194" t="str">
        <f t="shared" ref="F13" si="0">IF(E13="","",IF(G13=E13,1,0))</f>
        <v/>
      </c>
      <c r="G13" s="194" t="s">
        <v>44</v>
      </c>
      <c r="H13" s="197" t="str">
        <f>IF(F13&lt;&gt;1,"Incorrect:  When your tester has powered on fully / Initialised and then connected to the pair it will then test for high voltage.",IF(F13=1,"Correct",""))</f>
        <v>Incorrect:  When your tester has powered on fully / Initialised and then connected to the pair it will then test for high voltage.</v>
      </c>
    </row>
    <row r="14" spans="1:8" x14ac:dyDescent="0.25">
      <c r="B14" s="47"/>
      <c r="C14" s="72" t="s">
        <v>43</v>
      </c>
      <c r="D14" s="69" t="s">
        <v>50</v>
      </c>
      <c r="E14" s="192"/>
      <c r="F14" s="195"/>
      <c r="G14" s="195"/>
      <c r="H14" s="198"/>
    </row>
    <row r="15" spans="1:8" x14ac:dyDescent="0.25">
      <c r="B15" s="47"/>
      <c r="C15" s="72" t="s">
        <v>44</v>
      </c>
      <c r="D15" s="86" t="s">
        <v>49</v>
      </c>
      <c r="E15" s="192"/>
      <c r="F15" s="195"/>
      <c r="G15" s="195"/>
      <c r="H15" s="198"/>
    </row>
    <row r="16" spans="1:8" x14ac:dyDescent="0.25">
      <c r="B16" s="47"/>
      <c r="C16" s="72" t="s">
        <v>45</v>
      </c>
      <c r="D16" s="86" t="s">
        <v>246</v>
      </c>
      <c r="E16" s="192"/>
      <c r="F16" s="195"/>
      <c r="G16" s="195"/>
      <c r="H16" s="198"/>
    </row>
    <row r="17" spans="2:8" ht="15.75" thickBot="1" x14ac:dyDescent="0.3">
      <c r="B17" s="48"/>
      <c r="C17" s="75" t="s">
        <v>226</v>
      </c>
      <c r="D17" s="88" t="s">
        <v>51</v>
      </c>
      <c r="E17" s="192"/>
      <c r="F17" s="195"/>
      <c r="G17" s="196"/>
      <c r="H17" s="198"/>
    </row>
    <row r="18" spans="2:8" x14ac:dyDescent="0.25">
      <c r="B18" s="46">
        <v>3</v>
      </c>
      <c r="C18" s="80" t="s">
        <v>56</v>
      </c>
      <c r="D18" s="89"/>
      <c r="E18" s="191"/>
      <c r="F18" s="194" t="str">
        <f t="shared" ref="F18" si="1">IF(E18="","",IF(G18=E18,1,0))</f>
        <v/>
      </c>
      <c r="G18" s="194" t="s">
        <v>43</v>
      </c>
      <c r="H18" s="197" t="str">
        <f>IF(F18&lt;&gt;1,"Incorrect:  You would use the TDR function to get the most accurate measure on a disconnection.",IF(F18=1,"Correct",""))</f>
        <v>Incorrect:  You would use the TDR function to get the most accurate measure on a disconnection.</v>
      </c>
    </row>
    <row r="19" spans="2:8" x14ac:dyDescent="0.25">
      <c r="B19" s="47"/>
      <c r="C19" s="81" t="s">
        <v>43</v>
      </c>
      <c r="D19" s="90" t="s">
        <v>52</v>
      </c>
      <c r="E19" s="192"/>
      <c r="F19" s="195"/>
      <c r="G19" s="195"/>
      <c r="H19" s="198"/>
    </row>
    <row r="20" spans="2:8" x14ac:dyDescent="0.25">
      <c r="B20" s="47"/>
      <c r="C20" s="82" t="s">
        <v>44</v>
      </c>
      <c r="D20" s="91" t="s">
        <v>53</v>
      </c>
      <c r="E20" s="192"/>
      <c r="F20" s="195"/>
      <c r="G20" s="195"/>
      <c r="H20" s="198"/>
    </row>
    <row r="21" spans="2:8" ht="15.75" thickBot="1" x14ac:dyDescent="0.3">
      <c r="B21" s="48"/>
      <c r="C21" s="82" t="s">
        <v>45</v>
      </c>
      <c r="D21" s="91" t="s">
        <v>54</v>
      </c>
      <c r="E21" s="193"/>
      <c r="F21" s="195"/>
      <c r="G21" s="196"/>
      <c r="H21" s="198"/>
    </row>
    <row r="22" spans="2:8" x14ac:dyDescent="0.25">
      <c r="B22" s="46">
        <v>4</v>
      </c>
      <c r="C22" s="79" t="s">
        <v>55</v>
      </c>
      <c r="D22" s="85"/>
      <c r="E22" s="191"/>
      <c r="F22" s="194" t="str">
        <f t="shared" ref="F22" si="2">IF(E22="","",IF(G22=E22,1,0))</f>
        <v/>
      </c>
      <c r="G22" s="194" t="s">
        <v>44</v>
      </c>
      <c r="H22" s="197" t="str">
        <f>IF(F22&lt;&gt;1,"Incorrect:  To locate a contact fault (Battery or Earth) you would use the RFL Bridge function, please note that to do this you must loop the far end of the pair and 1 leg must be 100 times better than the faulty leg.",IF(F22=1,"Correct",""))</f>
        <v>Incorrect:  To locate a contact fault (Battery or Earth) you would use the RFL Bridge function, please note that to do this you must loop the far end of the pair and 1 leg must be 100 times better than the faulty leg.</v>
      </c>
    </row>
    <row r="23" spans="2:8" x14ac:dyDescent="0.25">
      <c r="B23" s="47"/>
      <c r="C23" s="72" t="s">
        <v>43</v>
      </c>
      <c r="D23" s="69" t="s">
        <v>52</v>
      </c>
      <c r="E23" s="192"/>
      <c r="F23" s="195"/>
      <c r="G23" s="195"/>
      <c r="H23" s="198"/>
    </row>
    <row r="24" spans="2:8" x14ac:dyDescent="0.25">
      <c r="B24" s="47"/>
      <c r="C24" s="72" t="s">
        <v>44</v>
      </c>
      <c r="D24" s="86" t="s">
        <v>53</v>
      </c>
      <c r="E24" s="192"/>
      <c r="F24" s="195"/>
      <c r="G24" s="195"/>
      <c r="H24" s="198"/>
    </row>
    <row r="25" spans="2:8" ht="15.75" thickBot="1" x14ac:dyDescent="0.3">
      <c r="B25" s="48"/>
      <c r="C25" s="75" t="s">
        <v>45</v>
      </c>
      <c r="D25" s="88" t="s">
        <v>54</v>
      </c>
      <c r="E25" s="193"/>
      <c r="F25" s="195"/>
      <c r="G25" s="196"/>
      <c r="H25" s="198"/>
    </row>
    <row r="26" spans="2:8" x14ac:dyDescent="0.25">
      <c r="B26" s="46">
        <v>5</v>
      </c>
      <c r="C26" s="79" t="s">
        <v>57</v>
      </c>
      <c r="D26" s="85"/>
      <c r="E26" s="191"/>
      <c r="F26" s="194" t="str">
        <f t="shared" ref="F26" si="3">IF(E26="","",IF(G26=E26,1,0))</f>
        <v/>
      </c>
      <c r="G26" s="194" t="s">
        <v>43</v>
      </c>
      <c r="H26" s="197" t="str">
        <f>IF(F26&lt;&gt;1,"Incorrect:  Your tester can be set to take into account different conductor types and and different gauges to give you a more accurate reading.",IF(F26=1,"Correct",""))</f>
        <v>Incorrect:  Your tester can be set to take into account different conductor types and and different gauges to give you a more accurate reading.</v>
      </c>
    </row>
    <row r="27" spans="2:8" x14ac:dyDescent="0.25">
      <c r="B27" s="47"/>
      <c r="C27" s="72" t="s">
        <v>43</v>
      </c>
      <c r="D27" s="86" t="s">
        <v>58</v>
      </c>
      <c r="E27" s="192"/>
      <c r="F27" s="195"/>
      <c r="G27" s="195"/>
      <c r="H27" s="198"/>
    </row>
    <row r="28" spans="2:8" x14ac:dyDescent="0.25">
      <c r="B28" s="47"/>
      <c r="C28" s="72" t="s">
        <v>44</v>
      </c>
      <c r="D28" s="91" t="s">
        <v>59</v>
      </c>
      <c r="E28" s="192"/>
      <c r="F28" s="195"/>
      <c r="G28" s="195"/>
      <c r="H28" s="198"/>
    </row>
    <row r="29" spans="2:8" ht="15.75" thickBot="1" x14ac:dyDescent="0.3">
      <c r="B29" s="48"/>
      <c r="C29" s="75" t="s">
        <v>45</v>
      </c>
      <c r="D29" s="88" t="s">
        <v>60</v>
      </c>
      <c r="E29" s="193"/>
      <c r="F29" s="195"/>
      <c r="G29" s="196"/>
      <c r="H29" s="198"/>
    </row>
    <row r="30" spans="2:8" x14ac:dyDescent="0.25">
      <c r="B30" s="46">
        <v>6</v>
      </c>
      <c r="C30" s="79" t="s">
        <v>61</v>
      </c>
      <c r="D30" s="85"/>
      <c r="E30" s="191"/>
      <c r="F30" s="194" t="str">
        <f t="shared" ref="F30" si="4">IF(E30="","",IF(G30=E30,1,0))</f>
        <v/>
      </c>
      <c r="G30" s="194" t="s">
        <v>43</v>
      </c>
      <c r="H30" s="197" t="str">
        <f>IF(F30&lt;&gt;1,"Incorrect:  You must NEVER use uninsulated crocodile clips to conect anything to the condutor, always ensure shrouded / insulated clips are used as hazardous voltages could be present on the line.",IF(F30=1,"Correct",""))</f>
        <v>Incorrect:  You must NEVER use uninsulated crocodile clips to conect anything to the condutor, always ensure shrouded / insulated clips are used as hazardous voltages could be present on the line.</v>
      </c>
    </row>
    <row r="31" spans="2:8" x14ac:dyDescent="0.25">
      <c r="B31" s="47"/>
      <c r="C31" s="72" t="s">
        <v>43</v>
      </c>
      <c r="D31" s="86" t="s">
        <v>62</v>
      </c>
      <c r="E31" s="192"/>
      <c r="F31" s="195"/>
      <c r="G31" s="195"/>
      <c r="H31" s="198"/>
    </row>
    <row r="32" spans="2:8" x14ac:dyDescent="0.25">
      <c r="B32" s="47"/>
      <c r="C32" s="72" t="s">
        <v>44</v>
      </c>
      <c r="D32" s="69" t="s">
        <v>63</v>
      </c>
      <c r="E32" s="192"/>
      <c r="F32" s="195"/>
      <c r="G32" s="195"/>
      <c r="H32" s="198"/>
    </row>
    <row r="33" spans="2:8" ht="15.75" thickBot="1" x14ac:dyDescent="0.3">
      <c r="B33" s="48"/>
      <c r="C33" s="75" t="s">
        <v>45</v>
      </c>
      <c r="D33" s="88" t="s">
        <v>64</v>
      </c>
      <c r="E33" s="193"/>
      <c r="F33" s="195"/>
      <c r="G33" s="196"/>
      <c r="H33" s="198"/>
    </row>
    <row r="34" spans="2:8" x14ac:dyDescent="0.25">
      <c r="B34" s="46">
        <v>7</v>
      </c>
      <c r="C34" s="79" t="s">
        <v>67</v>
      </c>
      <c r="D34" s="85"/>
      <c r="E34" s="191"/>
      <c r="F34" s="194" t="str">
        <f t="shared" ref="F34" si="5">IF(E34="","",IF(G34=E34,1,0))</f>
        <v/>
      </c>
      <c r="G34" s="194" t="s">
        <v>44</v>
      </c>
      <c r="H34" s="197" t="str">
        <f>IF(F34&lt;&gt;1,"Incorrect: You must always use the leads supplied with the tester or the official replacement leads available for the tester as these are properly calibrated to give you an accurate measure.",IF(F34=1,"Correct",""))</f>
        <v>Incorrect: You must always use the leads supplied with the tester or the official replacement leads available for the tester as these are properly calibrated to give you an accurate measure.</v>
      </c>
    </row>
    <row r="35" spans="2:8" x14ac:dyDescent="0.25">
      <c r="B35" s="47"/>
      <c r="C35" s="72" t="s">
        <v>43</v>
      </c>
      <c r="D35" s="69" t="s">
        <v>68</v>
      </c>
      <c r="E35" s="192"/>
      <c r="F35" s="195"/>
      <c r="G35" s="195"/>
      <c r="H35" s="198"/>
    </row>
    <row r="36" spans="2:8" x14ac:dyDescent="0.25">
      <c r="B36" s="47"/>
      <c r="C36" s="72" t="s">
        <v>44</v>
      </c>
      <c r="D36" s="86" t="s">
        <v>69</v>
      </c>
      <c r="E36" s="192"/>
      <c r="F36" s="195"/>
      <c r="G36" s="195"/>
      <c r="H36" s="198"/>
    </row>
    <row r="37" spans="2:8" ht="15.75" thickBot="1" x14ac:dyDescent="0.3">
      <c r="B37" s="48"/>
      <c r="C37" s="75" t="s">
        <v>45</v>
      </c>
      <c r="D37" s="88" t="s">
        <v>70</v>
      </c>
      <c r="E37" s="193"/>
      <c r="F37" s="195"/>
      <c r="G37" s="196"/>
      <c r="H37" s="198"/>
    </row>
    <row r="38" spans="2:8" x14ac:dyDescent="0.25">
      <c r="B38" s="46">
        <v>8</v>
      </c>
      <c r="C38" s="79" t="s">
        <v>71</v>
      </c>
      <c r="D38" s="85"/>
      <c r="E38" s="191"/>
      <c r="F38" s="194" t="str">
        <f t="shared" ref="F38" si="6">IF(E38="","",IF(G38=E38,1,0))</f>
        <v/>
      </c>
      <c r="G38" s="194" t="s">
        <v>43</v>
      </c>
      <c r="H38" s="197" t="str">
        <f>IF(F38&lt;&gt;1,"Incorrect:  You should always ensure you have a good earth with your tester as many of the tests require this to give accurate results.",IF(F38=1,"Correct",""))</f>
        <v>Incorrect:  You should always ensure you have a good earth with your tester as many of the tests require this to give accurate results.</v>
      </c>
    </row>
    <row r="39" spans="2:8" x14ac:dyDescent="0.25">
      <c r="B39" s="47"/>
      <c r="C39" s="72" t="s">
        <v>43</v>
      </c>
      <c r="D39" s="69" t="s">
        <v>72</v>
      </c>
      <c r="E39" s="192"/>
      <c r="F39" s="195"/>
      <c r="G39" s="195"/>
      <c r="H39" s="198"/>
    </row>
    <row r="40" spans="2:8" x14ac:dyDescent="0.25">
      <c r="B40" s="47"/>
      <c r="C40" s="72" t="s">
        <v>44</v>
      </c>
      <c r="D40" s="86" t="s">
        <v>73</v>
      </c>
      <c r="E40" s="192"/>
      <c r="F40" s="195"/>
      <c r="G40" s="195"/>
      <c r="H40" s="198"/>
    </row>
    <row r="41" spans="2:8" ht="15.75" thickBot="1" x14ac:dyDescent="0.3">
      <c r="B41" s="48"/>
      <c r="C41" s="75" t="s">
        <v>45</v>
      </c>
      <c r="D41" s="88" t="s">
        <v>74</v>
      </c>
      <c r="E41" s="193"/>
      <c r="F41" s="195"/>
      <c r="G41" s="196"/>
      <c r="H41" s="198"/>
    </row>
    <row r="42" spans="2:8" x14ac:dyDescent="0.25">
      <c r="B42" s="46">
        <v>9</v>
      </c>
      <c r="C42" s="79" t="s">
        <v>75</v>
      </c>
      <c r="D42" s="85"/>
      <c r="E42" s="191"/>
      <c r="F42" s="194" t="str">
        <f t="shared" ref="F42" si="7">IF(E42="","",IF(G42=E42,1,0))</f>
        <v/>
      </c>
      <c r="G42" s="194" t="s">
        <v>45</v>
      </c>
      <c r="H42" s="197" t="str">
        <f>IF(F42&lt;&gt;1,"Incorrect:  When the trace rises above the line this would indicate that you have a disconnection at the point where the trace begins to rise.",IF(F42=1,"Correct",""))</f>
        <v>Incorrect:  When the trace rises above the line this would indicate that you have a disconnection at the point where the trace begins to rise.</v>
      </c>
    </row>
    <row r="43" spans="2:8" x14ac:dyDescent="0.25">
      <c r="B43" s="47"/>
      <c r="C43" s="72" t="s">
        <v>43</v>
      </c>
      <c r="D43" s="69" t="s">
        <v>76</v>
      </c>
      <c r="E43" s="192"/>
      <c r="F43" s="195"/>
      <c r="G43" s="195"/>
      <c r="H43" s="198"/>
    </row>
    <row r="44" spans="2:8" x14ac:dyDescent="0.25">
      <c r="B44" s="47"/>
      <c r="C44" s="72" t="s">
        <v>44</v>
      </c>
      <c r="D44" s="86" t="s">
        <v>78</v>
      </c>
      <c r="E44" s="192"/>
      <c r="F44" s="195"/>
      <c r="G44" s="195"/>
      <c r="H44" s="198"/>
    </row>
    <row r="45" spans="2:8" ht="15.75" thickBot="1" x14ac:dyDescent="0.3">
      <c r="B45" s="48"/>
      <c r="C45" s="75" t="s">
        <v>45</v>
      </c>
      <c r="D45" s="88" t="s">
        <v>77</v>
      </c>
      <c r="E45" s="193"/>
      <c r="F45" s="195"/>
      <c r="G45" s="196"/>
      <c r="H45" s="198"/>
    </row>
    <row r="46" spans="2:8" x14ac:dyDescent="0.25">
      <c r="B46" s="46">
        <v>10</v>
      </c>
      <c r="C46" s="79" t="s">
        <v>79</v>
      </c>
      <c r="D46" s="85"/>
      <c r="E46" s="191"/>
      <c r="F46" s="194" t="str">
        <f t="shared" ref="F46" si="8">IF(E46="","",IF(G46=E46,1,0))</f>
        <v/>
      </c>
      <c r="G46" s="194" t="s">
        <v>43</v>
      </c>
      <c r="H46" s="197" t="str">
        <f>IF(F46&lt;&gt;1,"Incorrect:  When the trace falls below the line this would indicate that you have a short circuit / loop at the point where the trace begins to fall.",IF(F46=1,"Correct",""))</f>
        <v>Incorrect:  When the trace falls below the line this would indicate that you have a short circuit / loop at the point where the trace begins to fall.</v>
      </c>
    </row>
    <row r="47" spans="2:8" x14ac:dyDescent="0.25">
      <c r="B47" s="47"/>
      <c r="C47" s="72" t="s">
        <v>43</v>
      </c>
      <c r="D47" s="69" t="s">
        <v>76</v>
      </c>
      <c r="E47" s="192"/>
      <c r="F47" s="195"/>
      <c r="G47" s="195"/>
      <c r="H47" s="198"/>
    </row>
    <row r="48" spans="2:8" x14ac:dyDescent="0.25">
      <c r="B48" s="47"/>
      <c r="C48" s="72" t="s">
        <v>44</v>
      </c>
      <c r="D48" s="86" t="s">
        <v>78</v>
      </c>
      <c r="E48" s="192"/>
      <c r="F48" s="195"/>
      <c r="G48" s="195"/>
      <c r="H48" s="198"/>
    </row>
    <row r="49" spans="2:8" ht="15.75" thickBot="1" x14ac:dyDescent="0.3">
      <c r="B49" s="48"/>
      <c r="C49" s="75" t="s">
        <v>45</v>
      </c>
      <c r="D49" s="88" t="s">
        <v>77</v>
      </c>
      <c r="E49" s="193"/>
      <c r="F49" s="195"/>
      <c r="G49" s="196"/>
      <c r="H49" s="198"/>
    </row>
    <row r="50" spans="2:8" x14ac:dyDescent="0.25">
      <c r="B50" s="46">
        <v>11</v>
      </c>
      <c r="C50" s="79" t="s">
        <v>80</v>
      </c>
      <c r="D50" s="85"/>
      <c r="E50" s="191"/>
      <c r="F50" s="194" t="str">
        <f t="shared" ref="F50" si="9">IF(E50="","",IF(G50=E50,1,0))</f>
        <v/>
      </c>
      <c r="G50" s="194" t="s">
        <v>44</v>
      </c>
      <c r="H50" s="197" t="str">
        <f>IF(F50&lt;&gt;1,"Incorrect:  When programming the tester ro use the RFL function you must take into account the Gauge of the cable, the type of material used in the conductor eg. Copper, Aluminium and you must also consider the temperature.",IF(F50=1,"Correct",""))</f>
        <v>Incorrect:  When programming the tester ro use the RFL function you must take into account the Gauge of the cable, the type of material used in the conductor eg. Copper, Aluminium and you must also consider the temperature.</v>
      </c>
    </row>
    <row r="51" spans="2:8" x14ac:dyDescent="0.25">
      <c r="B51" s="47"/>
      <c r="C51" s="72" t="s">
        <v>43</v>
      </c>
      <c r="D51" s="69" t="s">
        <v>81</v>
      </c>
      <c r="E51" s="192"/>
      <c r="F51" s="195"/>
      <c r="G51" s="195"/>
      <c r="H51" s="198"/>
    </row>
    <row r="52" spans="2:8" x14ac:dyDescent="0.25">
      <c r="B52" s="47"/>
      <c r="C52" s="72" t="s">
        <v>44</v>
      </c>
      <c r="D52" s="86" t="s">
        <v>82</v>
      </c>
      <c r="E52" s="192"/>
      <c r="F52" s="195"/>
      <c r="G52" s="195"/>
      <c r="H52" s="198"/>
    </row>
    <row r="53" spans="2:8" ht="15.75" thickBot="1" x14ac:dyDescent="0.3">
      <c r="B53" s="48"/>
      <c r="C53" s="75" t="s">
        <v>45</v>
      </c>
      <c r="D53" s="88" t="s">
        <v>83</v>
      </c>
      <c r="E53" s="193"/>
      <c r="F53" s="195"/>
      <c r="G53" s="196"/>
      <c r="H53" s="198"/>
    </row>
    <row r="54" spans="2:8" ht="29.25" customHeight="1" x14ac:dyDescent="0.25">
      <c r="B54" s="46">
        <v>12</v>
      </c>
      <c r="C54" s="200" t="s">
        <v>798</v>
      </c>
      <c r="D54" s="201"/>
      <c r="E54" s="191"/>
      <c r="F54" s="194" t="str">
        <f t="shared" ref="F54" si="10">IF(E54="","",IF(G54=E54,1,0))</f>
        <v/>
      </c>
      <c r="G54" s="194" t="s">
        <v>43</v>
      </c>
      <c r="H54" s="197" t="str">
        <f>IF(F54&lt;&gt;1,"Incorrect:  You should use the Digital Mulitmeter to continuosly test the line for the conditions you are looking for, One shot test as the name suggests will only test the line once and then stop.",IF(F54=1,"Correct",""))</f>
        <v>Incorrect:  You should use the Digital Mulitmeter to continuosly test the line for the conditions you are looking for, One shot test as the name suggests will only test the line once and then stop.</v>
      </c>
    </row>
    <row r="55" spans="2:8" x14ac:dyDescent="0.25">
      <c r="B55" s="47"/>
      <c r="C55" s="72" t="s">
        <v>43</v>
      </c>
      <c r="D55" s="69" t="s">
        <v>296</v>
      </c>
      <c r="E55" s="192"/>
      <c r="F55" s="195"/>
      <c r="G55" s="195"/>
      <c r="H55" s="198"/>
    </row>
    <row r="56" spans="2:8" x14ac:dyDescent="0.25">
      <c r="B56" s="47"/>
      <c r="C56" s="72" t="s">
        <v>44</v>
      </c>
      <c r="D56" s="86" t="s">
        <v>85</v>
      </c>
      <c r="E56" s="192"/>
      <c r="F56" s="195"/>
      <c r="G56" s="195"/>
      <c r="H56" s="198"/>
    </row>
    <row r="57" spans="2:8" ht="15.75" thickBot="1" x14ac:dyDescent="0.3">
      <c r="B57" s="48"/>
      <c r="C57" s="75" t="s">
        <v>45</v>
      </c>
      <c r="D57" s="88" t="s">
        <v>52</v>
      </c>
      <c r="E57" s="193"/>
      <c r="F57" s="195"/>
      <c r="G57" s="196"/>
      <c r="H57" s="198"/>
    </row>
    <row r="58" spans="2:8" x14ac:dyDescent="0.25">
      <c r="B58" s="46">
        <v>13</v>
      </c>
      <c r="C58" s="79" t="s">
        <v>145</v>
      </c>
      <c r="D58" s="85"/>
      <c r="E58" s="191"/>
      <c r="F58" s="194" t="str">
        <f t="shared" ref="F58" si="11">IF(E58="","",IF(G58=E58,1,0))</f>
        <v/>
      </c>
      <c r="G58" s="194" t="s">
        <v>44</v>
      </c>
      <c r="H58" s="197" t="str">
        <f>IF(F58&lt;&gt;1,"Incorrect:  The proper use of TDR and the Delta R tests can often provide good results when searching for an HR fault.",IF(F58=1,"Correct",""))</f>
        <v>Incorrect:  The proper use of TDR and the Delta R tests can often provide good results when searching for an HR fault.</v>
      </c>
    </row>
    <row r="59" spans="2:8" x14ac:dyDescent="0.25">
      <c r="B59" s="47"/>
      <c r="C59" s="72" t="s">
        <v>43</v>
      </c>
      <c r="D59" s="69" t="s">
        <v>86</v>
      </c>
      <c r="E59" s="192"/>
      <c r="F59" s="195"/>
      <c r="G59" s="195"/>
      <c r="H59" s="198"/>
    </row>
    <row r="60" spans="2:8" x14ac:dyDescent="0.25">
      <c r="B60" s="47"/>
      <c r="C60" s="72" t="s">
        <v>44</v>
      </c>
      <c r="D60" s="86" t="s">
        <v>87</v>
      </c>
      <c r="E60" s="192"/>
      <c r="F60" s="195"/>
      <c r="G60" s="195"/>
      <c r="H60" s="198"/>
    </row>
    <row r="61" spans="2:8" ht="15.75" thickBot="1" x14ac:dyDescent="0.3">
      <c r="B61" s="48"/>
      <c r="C61" s="75" t="s">
        <v>45</v>
      </c>
      <c r="D61" s="88" t="s">
        <v>84</v>
      </c>
      <c r="E61" s="193"/>
      <c r="F61" s="196"/>
      <c r="G61" s="196"/>
      <c r="H61" s="198"/>
    </row>
    <row r="62" spans="2:8" x14ac:dyDescent="0.25">
      <c r="B62" s="46">
        <v>14</v>
      </c>
      <c r="C62" s="79" t="s">
        <v>240</v>
      </c>
      <c r="D62" s="85"/>
      <c r="E62" s="191"/>
      <c r="F62" s="194" t="str">
        <f>IF(E62="","",IF(LEFT(G62,1)=E62,1,IF(RIGHT(G62,1)=E62,1,0)))</f>
        <v/>
      </c>
      <c r="G62" s="194" t="s">
        <v>243</v>
      </c>
      <c r="H62" s="197" t="str">
        <f>IF(F62&lt;&gt;1,"Incorrect:  If you have a JDSU you should callibrate your leads at least once per month to ensure you get the most accurate reading.  If you have an EXFO then callibration is not required as the leads are checked on each power up of the unit.",IF(F62=1,"Correct",""))</f>
        <v>Incorrect:  If you have a JDSU you should callibrate your leads at least once per month to ensure you get the most accurate reading.  If you have an EXFO then callibration is not required as the leads are checked on each power up of the unit.</v>
      </c>
    </row>
    <row r="63" spans="2:8" x14ac:dyDescent="0.25">
      <c r="B63" s="47"/>
      <c r="C63" s="72" t="s">
        <v>43</v>
      </c>
      <c r="D63" s="69" t="s">
        <v>241</v>
      </c>
      <c r="E63" s="192"/>
      <c r="F63" s="195"/>
      <c r="G63" s="195"/>
      <c r="H63" s="198"/>
    </row>
    <row r="64" spans="2:8" x14ac:dyDescent="0.25">
      <c r="B64" s="47"/>
      <c r="C64" s="72" t="s">
        <v>44</v>
      </c>
      <c r="D64" s="87" t="s">
        <v>249</v>
      </c>
      <c r="E64" s="192"/>
      <c r="F64" s="195"/>
      <c r="G64" s="195"/>
      <c r="H64" s="198"/>
    </row>
    <row r="65" spans="2:8" x14ac:dyDescent="0.25">
      <c r="B65" s="47"/>
      <c r="C65" s="72" t="s">
        <v>45</v>
      </c>
      <c r="D65" s="87" t="s">
        <v>250</v>
      </c>
      <c r="E65" s="192"/>
      <c r="F65" s="195"/>
      <c r="G65" s="195"/>
      <c r="H65" s="198"/>
    </row>
    <row r="66" spans="2:8" x14ac:dyDescent="0.25">
      <c r="B66" s="47"/>
      <c r="C66" s="72" t="s">
        <v>226</v>
      </c>
      <c r="D66" s="87" t="s">
        <v>242</v>
      </c>
      <c r="E66" s="192"/>
      <c r="F66" s="195"/>
      <c r="G66" s="195"/>
      <c r="H66" s="198"/>
    </row>
    <row r="67" spans="2:8" x14ac:dyDescent="0.25">
      <c r="B67" s="47"/>
      <c r="C67" s="72" t="s">
        <v>238</v>
      </c>
      <c r="D67" s="94" t="s">
        <v>251</v>
      </c>
      <c r="E67" s="192"/>
      <c r="F67" s="195"/>
      <c r="G67" s="195"/>
      <c r="H67" s="198"/>
    </row>
    <row r="68" spans="2:8" ht="15.75" thickBot="1" x14ac:dyDescent="0.3">
      <c r="B68" s="48"/>
      <c r="C68" s="75" t="s">
        <v>239</v>
      </c>
      <c r="D68" s="88" t="s">
        <v>252</v>
      </c>
      <c r="E68" s="193"/>
      <c r="F68" s="196"/>
      <c r="G68" s="196"/>
      <c r="H68" s="198"/>
    </row>
    <row r="69" spans="2:8" x14ac:dyDescent="0.25">
      <c r="B69" s="46">
        <v>15</v>
      </c>
      <c r="C69" s="79" t="s">
        <v>248</v>
      </c>
      <c r="D69" s="85"/>
      <c r="E69" s="191"/>
      <c r="F69" s="194" t="str">
        <f t="shared" ref="F69" si="12">IF(E69="","",IF(G69=E69,1,0))</f>
        <v/>
      </c>
      <c r="G69" s="194" t="s">
        <v>43</v>
      </c>
      <c r="H69" s="197" t="str">
        <f>IF(F69&lt;&gt;1,"Incorrect:  You should use the service detect feature on the tester, some services may not be picked up by using DVOM alone and you should never disconnect a pair unnecessarily.",IF(F69=1,"Correct",""))</f>
        <v>Incorrect:  You should use the service detect feature on the tester, some services may not be picked up by using DVOM alone and you should never disconnect a pair unnecessarily.</v>
      </c>
    </row>
    <row r="70" spans="2:8" x14ac:dyDescent="0.25">
      <c r="B70" s="47"/>
      <c r="C70" s="72" t="s">
        <v>43</v>
      </c>
      <c r="D70" s="87" t="s">
        <v>295</v>
      </c>
      <c r="E70" s="192"/>
      <c r="F70" s="195"/>
      <c r="G70" s="195"/>
      <c r="H70" s="198"/>
    </row>
    <row r="71" spans="2:8" x14ac:dyDescent="0.25">
      <c r="B71" s="47"/>
      <c r="C71" s="72" t="s">
        <v>44</v>
      </c>
      <c r="D71" s="86" t="s">
        <v>253</v>
      </c>
      <c r="E71" s="192"/>
      <c r="F71" s="195"/>
      <c r="G71" s="195"/>
      <c r="H71" s="198"/>
    </row>
    <row r="72" spans="2:8" ht="15.75" thickBot="1" x14ac:dyDescent="0.3">
      <c r="B72" s="48"/>
      <c r="C72" s="75" t="s">
        <v>45</v>
      </c>
      <c r="D72" s="88" t="s">
        <v>54</v>
      </c>
      <c r="E72" s="193"/>
      <c r="F72" s="196"/>
      <c r="G72" s="196"/>
      <c r="H72" s="198"/>
    </row>
    <row r="73" spans="2:8" x14ac:dyDescent="0.25">
      <c r="B73" s="46">
        <v>16</v>
      </c>
      <c r="C73" s="79" t="s">
        <v>254</v>
      </c>
      <c r="D73" s="85"/>
      <c r="E73" s="191"/>
      <c r="F73" s="194" t="str">
        <f t="shared" ref="F73" si="13">IF(E73="","",IF(G73=E73,1,0))</f>
        <v/>
      </c>
      <c r="G73" s="194" t="s">
        <v>44</v>
      </c>
      <c r="H73" s="197" t="str">
        <f>IF(F73&lt;&gt;1,"Incorrect:  The inbalance of the A and the B leg would indicate most likely that the pair is in contact with a non worker.",IF(F73=1,"Correct",""))</f>
        <v>Incorrect:  The inbalance of the A and the B leg would indicate most likely that the pair is in contact with a non worker.</v>
      </c>
    </row>
    <row r="74" spans="2:8" x14ac:dyDescent="0.25">
      <c r="B74" s="47"/>
      <c r="C74" s="72" t="s">
        <v>43</v>
      </c>
      <c r="D74" s="69" t="s">
        <v>76</v>
      </c>
      <c r="E74" s="192"/>
      <c r="F74" s="195"/>
      <c r="G74" s="195"/>
      <c r="H74" s="198"/>
    </row>
    <row r="75" spans="2:8" x14ac:dyDescent="0.25">
      <c r="B75" s="47"/>
      <c r="C75" s="72" t="s">
        <v>44</v>
      </c>
      <c r="D75" s="86" t="s">
        <v>255</v>
      </c>
      <c r="E75" s="192"/>
      <c r="F75" s="195"/>
      <c r="G75" s="195"/>
      <c r="H75" s="198"/>
    </row>
    <row r="76" spans="2:8" ht="15.75" thickBot="1" x14ac:dyDescent="0.3">
      <c r="B76" s="48"/>
      <c r="C76" s="75" t="s">
        <v>45</v>
      </c>
      <c r="D76" s="88" t="s">
        <v>256</v>
      </c>
      <c r="E76" s="193"/>
      <c r="F76" s="196"/>
      <c r="G76" s="196"/>
      <c r="H76" s="198"/>
    </row>
    <row r="77" spans="2:8" x14ac:dyDescent="0.25">
      <c r="B77" s="46">
        <v>17</v>
      </c>
      <c r="C77" s="79" t="s">
        <v>743</v>
      </c>
      <c r="D77" s="85"/>
      <c r="E77" s="191"/>
      <c r="F77" s="194" t="str">
        <f t="shared" ref="F77" si="14">IF(E77="","",IF(G77=E77,1,0))</f>
        <v/>
      </c>
      <c r="G77" s="194" t="s">
        <v>43</v>
      </c>
      <c r="H77" s="197" t="str">
        <f>IF(F77&lt;&gt;1,"Incorrect:  This would most likely indicate that you have an HR DIS on the B leg, and although this would pass a fast test you should still fault accordingly.",IF(F77=1,"Correct",""))</f>
        <v>Incorrect:  This would most likely indicate that you have an HR DIS on the B leg, and although this would pass a fast test you should still fault accordingly.</v>
      </c>
    </row>
    <row r="78" spans="2:8" x14ac:dyDescent="0.25">
      <c r="B78" s="47"/>
      <c r="C78" s="72" t="s">
        <v>43</v>
      </c>
      <c r="D78" s="69" t="s">
        <v>257</v>
      </c>
      <c r="E78" s="192"/>
      <c r="F78" s="195"/>
      <c r="G78" s="195"/>
      <c r="H78" s="198"/>
    </row>
    <row r="79" spans="2:8" x14ac:dyDescent="0.25">
      <c r="B79" s="47"/>
      <c r="C79" s="72" t="s">
        <v>44</v>
      </c>
      <c r="D79" s="86" t="s">
        <v>258</v>
      </c>
      <c r="E79" s="192"/>
      <c r="F79" s="195"/>
      <c r="G79" s="195"/>
      <c r="H79" s="198"/>
    </row>
    <row r="80" spans="2:8" ht="15.75" thickBot="1" x14ac:dyDescent="0.3">
      <c r="B80" s="48"/>
      <c r="C80" s="75" t="s">
        <v>45</v>
      </c>
      <c r="D80" s="88" t="s">
        <v>76</v>
      </c>
      <c r="E80" s="193"/>
      <c r="F80" s="196"/>
      <c r="G80" s="196"/>
      <c r="H80" s="198"/>
    </row>
    <row r="81" spans="2:8" x14ac:dyDescent="0.25">
      <c r="B81" s="46">
        <v>18</v>
      </c>
      <c r="C81" s="79" t="s">
        <v>297</v>
      </c>
      <c r="D81" s="85"/>
      <c r="E81" s="191"/>
      <c r="F81" s="194" t="str">
        <f t="shared" ref="F81" si="15">IF(E81="","",IF(G81=E81,1,0))</f>
        <v/>
      </c>
      <c r="G81" s="194" t="s">
        <v>45</v>
      </c>
      <c r="H81" s="197" t="str">
        <f>IF(F81&lt;&gt;1,"Incorrect:  To test your leads have full continuity, you should short all 3 leads together and use DVOM/Multimeter to look for 0Ω AB AE BE.  If you suspect an intrmitant fault try shaking the leads as you run the tests.",IF(F81=1,"Correct",""))</f>
        <v>Incorrect:  To test your leads have full continuity, you should short all 3 leads together and use DVOM/Multimeter to look for 0Ω AB AE BE.  If you suspect an intrmitant fault try shaking the leads as you run the tests.</v>
      </c>
    </row>
    <row r="82" spans="2:8" x14ac:dyDescent="0.25">
      <c r="B82" s="47"/>
      <c r="C82" s="72" t="s">
        <v>43</v>
      </c>
      <c r="D82" s="69" t="s">
        <v>744</v>
      </c>
      <c r="E82" s="192"/>
      <c r="F82" s="195"/>
      <c r="G82" s="195"/>
      <c r="H82" s="198"/>
    </row>
    <row r="83" spans="2:8" x14ac:dyDescent="0.25">
      <c r="B83" s="47"/>
      <c r="C83" s="72" t="s">
        <v>44</v>
      </c>
      <c r="D83" s="86" t="s">
        <v>299</v>
      </c>
      <c r="E83" s="192"/>
      <c r="F83" s="195"/>
      <c r="G83" s="195"/>
      <c r="H83" s="198"/>
    </row>
    <row r="84" spans="2:8" ht="15.75" thickBot="1" x14ac:dyDescent="0.3">
      <c r="B84" s="48"/>
      <c r="C84" s="75" t="s">
        <v>45</v>
      </c>
      <c r="D84" s="88" t="s">
        <v>298</v>
      </c>
      <c r="E84" s="193"/>
      <c r="F84" s="196"/>
      <c r="G84" s="196"/>
      <c r="H84" s="198"/>
    </row>
    <row r="85" spans="2:8" x14ac:dyDescent="0.25">
      <c r="B85" s="46">
        <v>19</v>
      </c>
      <c r="C85" s="79" t="s">
        <v>300</v>
      </c>
      <c r="D85" s="85"/>
      <c r="E85" s="191"/>
      <c r="F85" s="194" t="str">
        <f t="shared" ref="F85" si="16">IF(E85="","",IF(G85=E85,1,0))</f>
        <v/>
      </c>
      <c r="G85" s="194" t="s">
        <v>44</v>
      </c>
      <c r="H85" s="197" t="str">
        <f>IF(F85&lt;&gt;1,"Incorrect:  Any Fault condition can potentially cause AC balance to fail, fixing the fault will improve AC balance.",IF(F85=1,"Correct",""))</f>
        <v>Incorrect:  Any Fault condition can potentially cause AC balance to fail, fixing the fault will improve AC balance.</v>
      </c>
    </row>
    <row r="86" spans="2:8" x14ac:dyDescent="0.25">
      <c r="B86" s="47"/>
      <c r="C86" s="72" t="s">
        <v>43</v>
      </c>
      <c r="D86" s="69" t="s">
        <v>301</v>
      </c>
      <c r="E86" s="192"/>
      <c r="F86" s="195"/>
      <c r="G86" s="195"/>
      <c r="H86" s="198"/>
    </row>
    <row r="87" spans="2:8" x14ac:dyDescent="0.25">
      <c r="B87" s="47"/>
      <c r="C87" s="72" t="s">
        <v>44</v>
      </c>
      <c r="D87" s="86" t="s">
        <v>302</v>
      </c>
      <c r="E87" s="192"/>
      <c r="F87" s="195"/>
      <c r="G87" s="195"/>
      <c r="H87" s="198"/>
    </row>
    <row r="88" spans="2:8" ht="15.75" thickBot="1" x14ac:dyDescent="0.3">
      <c r="B88" s="48"/>
      <c r="C88" s="75" t="s">
        <v>45</v>
      </c>
      <c r="D88" s="88" t="s">
        <v>303</v>
      </c>
      <c r="E88" s="193"/>
      <c r="F88" s="196"/>
      <c r="G88" s="196"/>
      <c r="H88" s="198"/>
    </row>
    <row r="89" spans="2:8" x14ac:dyDescent="0.25">
      <c r="B89" s="46">
        <v>20</v>
      </c>
      <c r="C89" s="79" t="s">
        <v>343</v>
      </c>
      <c r="D89" s="85"/>
      <c r="E89" s="191"/>
      <c r="F89" s="194" t="str">
        <f t="shared" ref="F89" si="17">IF(E89="","",IF(G89=E89,1,0))</f>
        <v/>
      </c>
      <c r="G89" s="194" t="s">
        <v>43</v>
      </c>
      <c r="H89" s="197" t="str">
        <f>IF(F89&lt;&gt;1,"Incorrect:  This result is probably due to testing a long line, typically over 7km and no further investigation in the network is required.",IF(F89=1,"Correct",""))</f>
        <v>Incorrect:  This result is probably due to testing a long line, typically over 7km and no further investigation in the network is required.</v>
      </c>
    </row>
    <row r="90" spans="2:8" s="77" customFormat="1" ht="27.95" customHeight="1" x14ac:dyDescent="0.25">
      <c r="B90" s="65"/>
      <c r="C90" s="74" t="s">
        <v>43</v>
      </c>
      <c r="D90" s="95" t="s">
        <v>304</v>
      </c>
      <c r="E90" s="192"/>
      <c r="F90" s="195"/>
      <c r="G90" s="195"/>
      <c r="H90" s="198"/>
    </row>
    <row r="91" spans="2:8" x14ac:dyDescent="0.25">
      <c r="B91" s="47"/>
      <c r="C91" s="72" t="s">
        <v>44</v>
      </c>
      <c r="D91" s="86" t="s">
        <v>305</v>
      </c>
      <c r="E91" s="192"/>
      <c r="F91" s="195"/>
      <c r="G91" s="195"/>
      <c r="H91" s="198"/>
    </row>
    <row r="92" spans="2:8" ht="15.75" thickBot="1" x14ac:dyDescent="0.3">
      <c r="B92" s="48"/>
      <c r="C92" s="75" t="s">
        <v>45</v>
      </c>
      <c r="D92" s="88" t="s">
        <v>306</v>
      </c>
      <c r="E92" s="193"/>
      <c r="F92" s="196"/>
      <c r="G92" s="196"/>
      <c r="H92" s="198"/>
    </row>
    <row r="93" spans="2:8" x14ac:dyDescent="0.25">
      <c r="B93" s="46">
        <v>21</v>
      </c>
      <c r="C93" s="79" t="s">
        <v>307</v>
      </c>
      <c r="D93" s="85"/>
      <c r="E93" s="191"/>
      <c r="F93" s="194" t="str">
        <f t="shared" ref="F93" si="18">IF(E93="","",IF(G93=E93,1,0))</f>
        <v/>
      </c>
      <c r="G93" s="194" t="s">
        <v>43</v>
      </c>
      <c r="H93" s="197" t="str">
        <f>IF(F93&lt;&gt;1,"Incorrect:  A failed PQ test on Insulation Resistance AB would indicate a short circuit/loop on the circuit.",IF(F93=1,"Correct",""))</f>
        <v>Incorrect:  A failed PQ test on Insulation Resistance AB would indicate a short circuit/loop on the circuit.</v>
      </c>
    </row>
    <row r="94" spans="2:8" x14ac:dyDescent="0.25">
      <c r="B94" s="65"/>
      <c r="C94" s="74" t="s">
        <v>43</v>
      </c>
      <c r="D94" s="95" t="s">
        <v>308</v>
      </c>
      <c r="E94" s="192"/>
      <c r="F94" s="195"/>
      <c r="G94" s="195"/>
      <c r="H94" s="198"/>
    </row>
    <row r="95" spans="2:8" x14ac:dyDescent="0.25">
      <c r="B95" s="47"/>
      <c r="C95" s="72" t="s">
        <v>44</v>
      </c>
      <c r="D95" s="86" t="s">
        <v>309</v>
      </c>
      <c r="E95" s="192"/>
      <c r="F95" s="195"/>
      <c r="G95" s="195"/>
      <c r="H95" s="198"/>
    </row>
    <row r="96" spans="2:8" ht="15.75" thickBot="1" x14ac:dyDescent="0.3">
      <c r="B96" s="48"/>
      <c r="C96" s="75" t="s">
        <v>45</v>
      </c>
      <c r="D96" s="88" t="s">
        <v>310</v>
      </c>
      <c r="E96" s="193"/>
      <c r="F96" s="196"/>
      <c r="G96" s="196"/>
      <c r="H96" s="198"/>
    </row>
    <row r="97" spans="2:8" ht="27.95" customHeight="1" x14ac:dyDescent="0.25">
      <c r="B97" s="46">
        <v>22</v>
      </c>
      <c r="C97" s="200" t="s">
        <v>328</v>
      </c>
      <c r="D97" s="201"/>
      <c r="E97" s="191"/>
      <c r="F97" s="194" t="str">
        <f t="shared" ref="F97" si="19">IF(E97="","",IF(G97=E97,1,0))</f>
        <v/>
      </c>
      <c r="G97" s="194" t="s">
        <v>43</v>
      </c>
      <c r="H97" s="197" t="str">
        <f>IF(F97&lt;&gt;1,"Incorrect:  When testing for a good earth, Using the AC Balance test on your tester you should be looking for Less than 90db, higher than this would indicate a poor or no earth.",IF(F97=1,"Correct",""))</f>
        <v>Incorrect:  When testing for a good earth, Using the AC Balance test on your tester you should be looking for Less than 90db, higher than this would indicate a poor or no earth.</v>
      </c>
    </row>
    <row r="98" spans="2:8" x14ac:dyDescent="0.25">
      <c r="B98" s="65"/>
      <c r="C98" s="74" t="s">
        <v>43</v>
      </c>
      <c r="D98" s="95" t="s">
        <v>311</v>
      </c>
      <c r="E98" s="192"/>
      <c r="F98" s="195"/>
      <c r="G98" s="195"/>
      <c r="H98" s="198"/>
    </row>
    <row r="99" spans="2:8" x14ac:dyDescent="0.25">
      <c r="B99" s="47"/>
      <c r="C99" s="72" t="s">
        <v>44</v>
      </c>
      <c r="D99" s="86" t="s">
        <v>312</v>
      </c>
      <c r="E99" s="192"/>
      <c r="F99" s="195"/>
      <c r="G99" s="195"/>
      <c r="H99" s="198"/>
    </row>
    <row r="100" spans="2:8" ht="15.75" thickBot="1" x14ac:dyDescent="0.3">
      <c r="B100" s="48"/>
      <c r="C100" s="75" t="s">
        <v>45</v>
      </c>
      <c r="D100" s="88" t="s">
        <v>313</v>
      </c>
      <c r="E100" s="193"/>
      <c r="F100" s="196"/>
      <c r="G100" s="196"/>
      <c r="H100" s="198"/>
    </row>
    <row r="101" spans="2:8" x14ac:dyDescent="0.25">
      <c r="B101" s="46">
        <v>23</v>
      </c>
      <c r="C101" s="79" t="s">
        <v>314</v>
      </c>
      <c r="D101" s="85"/>
      <c r="E101" s="191"/>
      <c r="F101" s="194" t="str">
        <f t="shared" ref="F101" si="20">IF(E101="","",IF(G101=E101,1,0))</f>
        <v/>
      </c>
      <c r="G101" s="194" t="s">
        <v>44</v>
      </c>
      <c r="H101" s="197" t="str">
        <f>IF(F101&lt;&gt;1,"Incorrect:  When running a CIDT, you can connect your HHT to the line to emulate an ADSL modem.",IF(F101=1,"Correct",""))</f>
        <v>Incorrect:  When running a CIDT, you can connect your HHT to the line to emulate an ADSL modem.</v>
      </c>
    </row>
    <row r="102" spans="2:8" x14ac:dyDescent="0.25">
      <c r="B102" s="65"/>
      <c r="C102" s="74" t="s">
        <v>43</v>
      </c>
      <c r="D102" s="95" t="s">
        <v>315</v>
      </c>
      <c r="E102" s="192"/>
      <c r="F102" s="195"/>
      <c r="G102" s="195"/>
      <c r="H102" s="198"/>
    </row>
    <row r="103" spans="2:8" x14ac:dyDescent="0.25">
      <c r="B103" s="47"/>
      <c r="C103" s="72" t="s">
        <v>44</v>
      </c>
      <c r="D103" s="86" t="s">
        <v>316</v>
      </c>
      <c r="E103" s="192"/>
      <c r="F103" s="195"/>
      <c r="G103" s="195"/>
      <c r="H103" s="198"/>
    </row>
    <row r="104" spans="2:8" ht="15.75" thickBot="1" x14ac:dyDescent="0.3">
      <c r="B104" s="48"/>
      <c r="C104" s="75" t="s">
        <v>45</v>
      </c>
      <c r="D104" s="88" t="s">
        <v>317</v>
      </c>
      <c r="E104" s="193"/>
      <c r="F104" s="196"/>
      <c r="G104" s="196"/>
      <c r="H104" s="198"/>
    </row>
    <row r="105" spans="2:8" x14ac:dyDescent="0.25">
      <c r="B105" s="46">
        <v>24</v>
      </c>
      <c r="C105" s="79" t="s">
        <v>318</v>
      </c>
      <c r="D105" s="85"/>
      <c r="E105" s="191"/>
      <c r="F105" s="194" t="str">
        <f t="shared" ref="F105" si="21">IF(E105="","",IF(G105=E105,1,0))</f>
        <v/>
      </c>
      <c r="G105" s="194" t="s">
        <v>44</v>
      </c>
      <c r="H105" s="197" t="str">
        <f>IF(F105&lt;&gt;1,"Incorrect:  When carrying out an RFL bridge test, you should ensure along with having 1 leg 100* better than the poor leg that you have a loop on the far end of the circuit.",IF(F105=1,"Correct",""))</f>
        <v>Incorrect:  When carrying out an RFL bridge test, you should ensure along with having 1 leg 100* better than the poor leg that you have a loop on the far end of the circuit.</v>
      </c>
    </row>
    <row r="106" spans="2:8" x14ac:dyDescent="0.25">
      <c r="B106" s="65"/>
      <c r="C106" s="74" t="s">
        <v>43</v>
      </c>
      <c r="D106" s="95" t="s">
        <v>319</v>
      </c>
      <c r="E106" s="192"/>
      <c r="F106" s="195"/>
      <c r="G106" s="195"/>
      <c r="H106" s="198"/>
    </row>
    <row r="107" spans="2:8" x14ac:dyDescent="0.25">
      <c r="B107" s="47"/>
      <c r="C107" s="72" t="s">
        <v>44</v>
      </c>
      <c r="D107" s="86" t="s">
        <v>76</v>
      </c>
      <c r="E107" s="192"/>
      <c r="F107" s="195"/>
      <c r="G107" s="195"/>
      <c r="H107" s="198"/>
    </row>
    <row r="108" spans="2:8" ht="15.75" thickBot="1" x14ac:dyDescent="0.3">
      <c r="B108" s="48"/>
      <c r="C108" s="75" t="s">
        <v>45</v>
      </c>
      <c r="D108" s="88" t="s">
        <v>320</v>
      </c>
      <c r="E108" s="193"/>
      <c r="F108" s="196"/>
      <c r="G108" s="196"/>
      <c r="H108" s="198"/>
    </row>
    <row r="109" spans="2:8" x14ac:dyDescent="0.25">
      <c r="B109" s="46">
        <v>25</v>
      </c>
      <c r="C109" s="79" t="s">
        <v>332</v>
      </c>
      <c r="D109" s="85"/>
      <c r="E109" s="191"/>
      <c r="F109" s="194" t="str">
        <f t="shared" ref="F109" si="22">IF(E109="","",IF(G109=E109,1,0))</f>
        <v/>
      </c>
      <c r="G109" s="194" t="s">
        <v>43</v>
      </c>
      <c r="H109" s="197" t="str">
        <f>IF(F109&lt;&gt;1,"Incorrect:  Most issue with your HHT can be resolved by consulting FIXIT in the first instance.",IF(F109=1,"Correct",""))</f>
        <v>Incorrect:  Most issue with your HHT can be resolved by consulting FIXIT in the first instance.</v>
      </c>
    </row>
    <row r="110" spans="2:8" x14ac:dyDescent="0.25">
      <c r="B110" s="65"/>
      <c r="C110" s="74" t="s">
        <v>43</v>
      </c>
      <c r="D110" s="95" t="s">
        <v>333</v>
      </c>
      <c r="E110" s="192"/>
      <c r="F110" s="195"/>
      <c r="G110" s="195"/>
      <c r="H110" s="198"/>
    </row>
    <row r="111" spans="2:8" x14ac:dyDescent="0.25">
      <c r="B111" s="47"/>
      <c r="C111" s="72" t="s">
        <v>44</v>
      </c>
      <c r="D111" s="86" t="s">
        <v>334</v>
      </c>
      <c r="E111" s="192"/>
      <c r="F111" s="195"/>
      <c r="G111" s="195"/>
      <c r="H111" s="198"/>
    </row>
    <row r="112" spans="2:8" ht="15.75" thickBot="1" x14ac:dyDescent="0.3">
      <c r="B112" s="48"/>
      <c r="C112" s="75" t="s">
        <v>45</v>
      </c>
      <c r="D112" s="88" t="s">
        <v>335</v>
      </c>
      <c r="E112" s="193"/>
      <c r="F112" s="196"/>
      <c r="G112" s="196"/>
      <c r="H112" s="198"/>
    </row>
    <row r="113" spans="2:8" x14ac:dyDescent="0.25">
      <c r="B113" s="46">
        <v>26</v>
      </c>
      <c r="C113" s="79" t="s">
        <v>344</v>
      </c>
      <c r="D113" s="85"/>
      <c r="E113" s="191"/>
      <c r="F113" s="194" t="str">
        <f t="shared" ref="F113" si="23">IF(E113="","",IF(G113=E113,1,0))</f>
        <v/>
      </c>
      <c r="G113" s="194" t="s">
        <v>45</v>
      </c>
      <c r="H113" s="197" t="str">
        <f>IF(F113&lt;&gt;1,"Incorrect:  If you HHT appears to be faulty and you have already checked FIXIT for the answer, you should contact the mobile workforce service desk on 0800 169 4747 where they will assist in rectifying the issue or have it replaced if necessary.",IF(F113=1,"Correct",""))</f>
        <v>Incorrect:  If you HHT appears to be faulty and you have already checked FIXIT for the answer, you should contact the mobile workforce service desk on 0800 169 4747 where they will assist in rectifying the issue or have it replaced if necessary.</v>
      </c>
    </row>
    <row r="114" spans="2:8" x14ac:dyDescent="0.25">
      <c r="B114" s="65"/>
      <c r="C114" s="74" t="s">
        <v>43</v>
      </c>
      <c r="D114" s="95" t="s">
        <v>325</v>
      </c>
      <c r="E114" s="192"/>
      <c r="F114" s="195"/>
      <c r="G114" s="195"/>
      <c r="H114" s="198"/>
    </row>
    <row r="115" spans="2:8" x14ac:dyDescent="0.25">
      <c r="B115" s="47"/>
      <c r="C115" s="72" t="s">
        <v>44</v>
      </c>
      <c r="D115" s="86" t="s">
        <v>326</v>
      </c>
      <c r="E115" s="192"/>
      <c r="F115" s="195"/>
      <c r="G115" s="195"/>
      <c r="H115" s="198"/>
    </row>
    <row r="116" spans="2:8" ht="15.75" thickBot="1" x14ac:dyDescent="0.3">
      <c r="B116" s="48"/>
      <c r="C116" s="75" t="s">
        <v>45</v>
      </c>
      <c r="D116" s="88" t="s">
        <v>327</v>
      </c>
      <c r="E116" s="193"/>
      <c r="F116" s="196"/>
      <c r="G116" s="196"/>
      <c r="H116" s="198"/>
    </row>
    <row r="117" spans="2:8" x14ac:dyDescent="0.25">
      <c r="B117" s="46">
        <v>27</v>
      </c>
      <c r="C117" s="79" t="s">
        <v>329</v>
      </c>
      <c r="D117" s="85"/>
      <c r="E117" s="191"/>
      <c r="F117" s="194" t="str">
        <f t="shared" ref="F117" si="24">IF(E117="","",IF(G117=E117,1,0))</f>
        <v/>
      </c>
      <c r="G117" s="194" t="s">
        <v>43</v>
      </c>
      <c r="H117" s="197" t="str">
        <f>IF(F117&lt;&gt;1,"Incorrect:  If your PQ test fails on only AC balance and all other parameters appear to be OK then the most likely cause of the issue is a split pair.",IF(F117=1,"Correct",""))</f>
        <v>Incorrect:  If your PQ test fails on only AC balance and all other parameters appear to be OK then the most likely cause of the issue is a split pair.</v>
      </c>
    </row>
    <row r="118" spans="2:8" x14ac:dyDescent="0.25">
      <c r="B118" s="65"/>
      <c r="C118" s="74" t="s">
        <v>43</v>
      </c>
      <c r="D118" s="95" t="s">
        <v>228</v>
      </c>
      <c r="E118" s="192"/>
      <c r="F118" s="195"/>
      <c r="G118" s="195"/>
      <c r="H118" s="198"/>
    </row>
    <row r="119" spans="2:8" x14ac:dyDescent="0.25">
      <c r="B119" s="47"/>
      <c r="C119" s="72" t="s">
        <v>44</v>
      </c>
      <c r="D119" s="86" t="s">
        <v>330</v>
      </c>
      <c r="E119" s="192"/>
      <c r="F119" s="195"/>
      <c r="G119" s="195"/>
      <c r="H119" s="198"/>
    </row>
    <row r="120" spans="2:8" ht="15.75" thickBot="1" x14ac:dyDescent="0.3">
      <c r="B120" s="48"/>
      <c r="C120" s="75" t="s">
        <v>45</v>
      </c>
      <c r="D120" s="88" t="s">
        <v>331</v>
      </c>
      <c r="E120" s="193"/>
      <c r="F120" s="196"/>
      <c r="G120" s="196"/>
      <c r="H120" s="198"/>
    </row>
    <row r="121" spans="2:8" x14ac:dyDescent="0.25">
      <c r="B121" s="46">
        <v>28</v>
      </c>
      <c r="C121" s="85" t="s">
        <v>321</v>
      </c>
      <c r="D121" s="85"/>
      <c r="E121" s="191"/>
      <c r="F121" s="194" t="str">
        <f t="shared" ref="F121" si="25">IF(E121="","",IF(G121=E121,1,0))</f>
        <v/>
      </c>
      <c r="G121" s="194" t="s">
        <v>44</v>
      </c>
      <c r="H121" s="197" t="str">
        <f>IF(F121&lt;&gt;1,"Incorrect:   PQ parameters are equal to or higher than standards stated in SIN349.",IF(F121=1,"Correct",""))</f>
        <v>Incorrect:   PQ parameters are equal to or higher than standards stated in SIN349.</v>
      </c>
    </row>
    <row r="122" spans="2:8" x14ac:dyDescent="0.25">
      <c r="B122" s="65"/>
      <c r="C122" s="74" t="s">
        <v>43</v>
      </c>
      <c r="D122" s="95" t="s">
        <v>322</v>
      </c>
      <c r="E122" s="192"/>
      <c r="F122" s="195"/>
      <c r="G122" s="195"/>
      <c r="H122" s="198"/>
    </row>
    <row r="123" spans="2:8" x14ac:dyDescent="0.25">
      <c r="B123" s="47"/>
      <c r="C123" s="72" t="s">
        <v>44</v>
      </c>
      <c r="D123" s="86" t="s">
        <v>323</v>
      </c>
      <c r="E123" s="192"/>
      <c r="F123" s="195"/>
      <c r="G123" s="195"/>
      <c r="H123" s="198"/>
    </row>
    <row r="124" spans="2:8" ht="15.75" thickBot="1" x14ac:dyDescent="0.3">
      <c r="B124" s="48"/>
      <c r="C124" s="75" t="s">
        <v>45</v>
      </c>
      <c r="D124" s="76" t="s">
        <v>324</v>
      </c>
      <c r="E124" s="193"/>
      <c r="F124" s="196"/>
      <c r="G124" s="196"/>
      <c r="H124" s="198"/>
    </row>
    <row r="125" spans="2:8" ht="27.95" customHeight="1" x14ac:dyDescent="0.25">
      <c r="B125" s="46">
        <v>29</v>
      </c>
      <c r="C125" s="200" t="s">
        <v>336</v>
      </c>
      <c r="D125" s="201"/>
      <c r="E125" s="191"/>
      <c r="F125" s="194" t="str">
        <f t="shared" ref="F125" si="26">IF(E125="","",IF(G125=E125,1,0))</f>
        <v/>
      </c>
      <c r="G125" s="194" t="s">
        <v>45</v>
      </c>
      <c r="H125" s="197" t="str">
        <f>IF(F125&lt;&gt;1,"Incorrect:  When searching for a disconnection that is extremely close to your location, using DIS capacitance in conjuction with TDR will help you get a good location on the fault.",IF(F125=1,"Correct",""))</f>
        <v>Incorrect:  When searching for a disconnection that is extremely close to your location, using DIS capacitance in conjuction with TDR will help you get a good location on the fault.</v>
      </c>
    </row>
    <row r="126" spans="2:8" x14ac:dyDescent="0.25">
      <c r="B126" s="65"/>
      <c r="C126" s="74" t="s">
        <v>43</v>
      </c>
      <c r="D126" s="95" t="s">
        <v>53</v>
      </c>
      <c r="E126" s="192"/>
      <c r="F126" s="195"/>
      <c r="G126" s="195"/>
      <c r="H126" s="198"/>
    </row>
    <row r="127" spans="2:8" x14ac:dyDescent="0.25">
      <c r="B127" s="47"/>
      <c r="C127" s="72" t="s">
        <v>44</v>
      </c>
      <c r="D127" s="86" t="s">
        <v>338</v>
      </c>
      <c r="E127" s="192"/>
      <c r="F127" s="195"/>
      <c r="G127" s="195"/>
      <c r="H127" s="198"/>
    </row>
    <row r="128" spans="2:8" ht="15.75" thickBot="1" x14ac:dyDescent="0.3">
      <c r="B128" s="48"/>
      <c r="C128" s="75" t="s">
        <v>45</v>
      </c>
      <c r="D128" s="88" t="s">
        <v>339</v>
      </c>
      <c r="E128" s="193"/>
      <c r="F128" s="196"/>
      <c r="G128" s="196"/>
      <c r="H128" s="198"/>
    </row>
    <row r="129" spans="2:8" x14ac:dyDescent="0.25">
      <c r="B129" s="46">
        <v>30</v>
      </c>
      <c r="C129" s="79" t="s">
        <v>340</v>
      </c>
      <c r="D129" s="85"/>
      <c r="E129" s="191"/>
      <c r="F129" s="194" t="str">
        <f t="shared" ref="F129" si="27">IF(E129="","",IF(G129=E129,1,0))</f>
        <v/>
      </c>
      <c r="G129" s="194" t="s">
        <v>45</v>
      </c>
      <c r="H129" s="197" t="str">
        <f>IF(F129&lt;&gt;1,"Incorrect:  The only way you should connect any devices to the new Tool-less PCP strips is by using the test adapter item code 082604, if you do not have one of these then you should order it today.",IF(F129=1,"Correct",""))</f>
        <v>Incorrect:  The only way you should connect any devices to the new Tool-less PCP strips is by using the test adapter item code 082604, if you do not have one of these then you should order it today.</v>
      </c>
    </row>
    <row r="130" spans="2:8" x14ac:dyDescent="0.25">
      <c r="B130" s="65"/>
      <c r="C130" s="74" t="s">
        <v>43</v>
      </c>
      <c r="D130" s="95" t="s">
        <v>337</v>
      </c>
      <c r="E130" s="192"/>
      <c r="F130" s="195"/>
      <c r="G130" s="195"/>
      <c r="H130" s="198"/>
    </row>
    <row r="131" spans="2:8" x14ac:dyDescent="0.25">
      <c r="B131" s="47"/>
      <c r="C131" s="72" t="s">
        <v>44</v>
      </c>
      <c r="D131" s="86" t="s">
        <v>341</v>
      </c>
      <c r="E131" s="192"/>
      <c r="F131" s="195"/>
      <c r="G131" s="195"/>
      <c r="H131" s="198"/>
    </row>
    <row r="132" spans="2:8" ht="15.75" thickBot="1" x14ac:dyDescent="0.3">
      <c r="B132" s="48"/>
      <c r="C132" s="75" t="s">
        <v>45</v>
      </c>
      <c r="D132" s="88" t="s">
        <v>342</v>
      </c>
      <c r="E132" s="193"/>
      <c r="F132" s="196"/>
      <c r="G132" s="196"/>
      <c r="H132" s="214"/>
    </row>
    <row r="134" spans="2:8" ht="15" customHeight="1" thickBot="1" x14ac:dyDescent="0.3"/>
    <row r="135" spans="2:8" x14ac:dyDescent="0.25">
      <c r="C135" s="205" t="s">
        <v>745</v>
      </c>
      <c r="D135" s="206"/>
      <c r="E135" s="207"/>
    </row>
    <row r="136" spans="2:8" x14ac:dyDescent="0.25">
      <c r="C136" s="208"/>
      <c r="D136" s="209"/>
      <c r="E136" s="210"/>
    </row>
    <row r="137" spans="2:8" ht="15.75" thickBot="1" x14ac:dyDescent="0.3">
      <c r="C137" s="211"/>
      <c r="D137" s="212"/>
      <c r="E137" s="213"/>
    </row>
  </sheetData>
  <sheetProtection sheet="1" objects="1" scenarios="1" selectLockedCells="1"/>
  <mergeCells count="126">
    <mergeCell ref="B4:E4"/>
    <mergeCell ref="C135:E137"/>
    <mergeCell ref="E129:E132"/>
    <mergeCell ref="F129:F132"/>
    <mergeCell ref="G129:G132"/>
    <mergeCell ref="H129:H132"/>
    <mergeCell ref="C97:D97"/>
    <mergeCell ref="C125:D125"/>
    <mergeCell ref="E121:E124"/>
    <mergeCell ref="F121:F124"/>
    <mergeCell ref="G121:G124"/>
    <mergeCell ref="H121:H124"/>
    <mergeCell ref="E125:E128"/>
    <mergeCell ref="F125:F128"/>
    <mergeCell ref="G125:G128"/>
    <mergeCell ref="H125:H128"/>
    <mergeCell ref="E113:E116"/>
    <mergeCell ref="F113:F116"/>
    <mergeCell ref="G113:G116"/>
    <mergeCell ref="H113:H116"/>
    <mergeCell ref="E117:E120"/>
    <mergeCell ref="F117:F120"/>
    <mergeCell ref="G117:G120"/>
    <mergeCell ref="H117:H120"/>
    <mergeCell ref="E105:E108"/>
    <mergeCell ref="F105:F108"/>
    <mergeCell ref="G105:G108"/>
    <mergeCell ref="H105:H108"/>
    <mergeCell ref="E109:E112"/>
    <mergeCell ref="F109:F112"/>
    <mergeCell ref="G109:G112"/>
    <mergeCell ref="H109:H112"/>
    <mergeCell ref="E97:E100"/>
    <mergeCell ref="F97:F100"/>
    <mergeCell ref="G97:G100"/>
    <mergeCell ref="H97:H100"/>
    <mergeCell ref="E101:E104"/>
    <mergeCell ref="F101:F104"/>
    <mergeCell ref="G101:G104"/>
    <mergeCell ref="H101:H104"/>
    <mergeCell ref="E77:E80"/>
    <mergeCell ref="F77:F80"/>
    <mergeCell ref="G77:G80"/>
    <mergeCell ref="H77:H80"/>
    <mergeCell ref="G69:G72"/>
    <mergeCell ref="H69:H72"/>
    <mergeCell ref="E73:E76"/>
    <mergeCell ref="F73:F76"/>
    <mergeCell ref="G73:G76"/>
    <mergeCell ref="H73:H76"/>
    <mergeCell ref="F62:F68"/>
    <mergeCell ref="F34:F37"/>
    <mergeCell ref="F38:F41"/>
    <mergeCell ref="F42:F45"/>
    <mergeCell ref="E69:E72"/>
    <mergeCell ref="F69:F72"/>
    <mergeCell ref="H62:H68"/>
    <mergeCell ref="F46:F49"/>
    <mergeCell ref="F50:F53"/>
    <mergeCell ref="F54:F57"/>
    <mergeCell ref="E54:E57"/>
    <mergeCell ref="E58:E61"/>
    <mergeCell ref="E62:E68"/>
    <mergeCell ref="G62:G68"/>
    <mergeCell ref="G42:G45"/>
    <mergeCell ref="H8:H12"/>
    <mergeCell ref="H13:H17"/>
    <mergeCell ref="H18:H21"/>
    <mergeCell ref="H22:H25"/>
    <mergeCell ref="H26:H29"/>
    <mergeCell ref="E13:E17"/>
    <mergeCell ref="E22:E25"/>
    <mergeCell ref="E18:E21"/>
    <mergeCell ref="F13:F17"/>
    <mergeCell ref="F18:F21"/>
    <mergeCell ref="F22:F25"/>
    <mergeCell ref="F26:F29"/>
    <mergeCell ref="H30:H33"/>
    <mergeCell ref="H34:H37"/>
    <mergeCell ref="H38:H41"/>
    <mergeCell ref="H42:H45"/>
    <mergeCell ref="H50:H53"/>
    <mergeCell ref="F58:F61"/>
    <mergeCell ref="H54:H57"/>
    <mergeCell ref="H58:H61"/>
    <mergeCell ref="E38:E41"/>
    <mergeCell ref="E42:E45"/>
    <mergeCell ref="E46:E49"/>
    <mergeCell ref="G46:G49"/>
    <mergeCell ref="G50:G53"/>
    <mergeCell ref="G54:G57"/>
    <mergeCell ref="G58:G61"/>
    <mergeCell ref="H46:H49"/>
    <mergeCell ref="F30:F33"/>
    <mergeCell ref="E50:E53"/>
    <mergeCell ref="B7:D7"/>
    <mergeCell ref="C54:D54"/>
    <mergeCell ref="G30:G33"/>
    <mergeCell ref="G34:G37"/>
    <mergeCell ref="G38:G41"/>
    <mergeCell ref="E8:E12"/>
    <mergeCell ref="F8:F12"/>
    <mergeCell ref="E26:E29"/>
    <mergeCell ref="E30:E33"/>
    <mergeCell ref="E34:E37"/>
    <mergeCell ref="G8:G12"/>
    <mergeCell ref="G13:G17"/>
    <mergeCell ref="G18:G21"/>
    <mergeCell ref="G22:G25"/>
    <mergeCell ref="G26:G29"/>
    <mergeCell ref="E93:E96"/>
    <mergeCell ref="F93:F96"/>
    <mergeCell ref="G93:G96"/>
    <mergeCell ref="H93:H96"/>
    <mergeCell ref="E81:E84"/>
    <mergeCell ref="F81:F84"/>
    <mergeCell ref="G81:G84"/>
    <mergeCell ref="H81:H84"/>
    <mergeCell ref="E85:E88"/>
    <mergeCell ref="F85:F88"/>
    <mergeCell ref="G85:G88"/>
    <mergeCell ref="H85:H88"/>
    <mergeCell ref="E89:E92"/>
    <mergeCell ref="F89:F92"/>
    <mergeCell ref="G89:G92"/>
    <mergeCell ref="H89:H92"/>
  </mergeCells>
  <conditionalFormatting sqref="H8:H68">
    <cfRule type="cellIs" dxfId="79" priority="17" operator="equal">
      <formula>"Correct"</formula>
    </cfRule>
  </conditionalFormatting>
  <conditionalFormatting sqref="H69:H72">
    <cfRule type="cellIs" dxfId="78" priority="16" operator="equal">
      <formula>"Correct"</formula>
    </cfRule>
  </conditionalFormatting>
  <conditionalFormatting sqref="H73:H76">
    <cfRule type="cellIs" dxfId="77" priority="15" operator="equal">
      <formula>"Correct"</formula>
    </cfRule>
  </conditionalFormatting>
  <conditionalFormatting sqref="H77:H80">
    <cfRule type="cellIs" dxfId="76" priority="14" operator="equal">
      <formula>"Correct"</formula>
    </cfRule>
  </conditionalFormatting>
  <conditionalFormatting sqref="H81:H84">
    <cfRule type="cellIs" dxfId="75" priority="13" operator="equal">
      <formula>"Correct"</formula>
    </cfRule>
  </conditionalFormatting>
  <conditionalFormatting sqref="H85:H88">
    <cfRule type="cellIs" dxfId="74" priority="12" operator="equal">
      <formula>"Correct"</formula>
    </cfRule>
  </conditionalFormatting>
  <conditionalFormatting sqref="H89:H92">
    <cfRule type="cellIs" dxfId="73" priority="11" operator="equal">
      <formula>"Correct"</formula>
    </cfRule>
  </conditionalFormatting>
  <conditionalFormatting sqref="H93:H96">
    <cfRule type="cellIs" dxfId="72" priority="10" operator="equal">
      <formula>"Correct"</formula>
    </cfRule>
  </conditionalFormatting>
  <conditionalFormatting sqref="H97:H100">
    <cfRule type="cellIs" dxfId="71" priority="9" operator="equal">
      <formula>"Correct"</formula>
    </cfRule>
  </conditionalFormatting>
  <conditionalFormatting sqref="H101:H104">
    <cfRule type="cellIs" dxfId="70" priority="8" operator="equal">
      <formula>"Correct"</formula>
    </cfRule>
  </conditionalFormatting>
  <conditionalFormatting sqref="H105:H108">
    <cfRule type="cellIs" dxfId="69" priority="7" operator="equal">
      <formula>"Correct"</formula>
    </cfRule>
  </conditionalFormatting>
  <conditionalFormatting sqref="H109:H112">
    <cfRule type="cellIs" dxfId="68" priority="6" operator="equal">
      <formula>"Correct"</formula>
    </cfRule>
  </conditionalFormatting>
  <conditionalFormatting sqref="H113:H116">
    <cfRule type="cellIs" dxfId="67" priority="5" operator="equal">
      <formula>"Correct"</formula>
    </cfRule>
  </conditionalFormatting>
  <conditionalFormatting sqref="H117:H120">
    <cfRule type="cellIs" dxfId="66" priority="4" operator="equal">
      <formula>"Correct"</formula>
    </cfRule>
  </conditionalFormatting>
  <conditionalFormatting sqref="H121:H124">
    <cfRule type="cellIs" dxfId="65" priority="3" operator="equal">
      <formula>"Correct"</formula>
    </cfRule>
  </conditionalFormatting>
  <conditionalFormatting sqref="H125:H128">
    <cfRule type="cellIs" dxfId="64" priority="2" operator="equal">
      <formula>"Correct"</formula>
    </cfRule>
  </conditionalFormatting>
  <conditionalFormatting sqref="H129:H132">
    <cfRule type="cellIs" dxfId="63" priority="1" operator="equal">
      <formula>"Correct"</formula>
    </cfRule>
  </conditionalFormatting>
  <dataValidations count="3">
    <dataValidation type="list" allowBlank="1" showInputMessage="1" showErrorMessage="1" sqref="E18 E22 E26 E30 E34 E38 E42 E46 E50 E54 E58 E69 E73 E77 E81 E85 E89 E93 E97 E101 E105 E109 E113 E117 E121 E125 E129">
      <formula1>"A,B,C"</formula1>
    </dataValidation>
    <dataValidation type="list" allowBlank="1" showInputMessage="1" showErrorMessage="1" sqref="E62:E68">
      <formula1>"A,B,C,D,E,F"</formula1>
    </dataValidation>
    <dataValidation type="list" allowBlank="1" showInputMessage="1" showErrorMessage="1" sqref="E8:E17">
      <formula1>"A,B,C,D"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H176"/>
  <sheetViews>
    <sheetView showGridLines="0" showRowColHeaders="0" zoomScaleNormal="100" workbookViewId="0">
      <selection activeCell="B14" sqref="B12:E19"/>
    </sheetView>
  </sheetViews>
  <sheetFormatPr defaultColWidth="9.28515625" defaultRowHeight="15" x14ac:dyDescent="0.25"/>
  <cols>
    <col min="1" max="1" width="3" style="76" customWidth="1"/>
    <col min="2" max="2" width="3" style="44" bestFit="1" customWidth="1"/>
    <col min="3" max="3" width="3.85546875" style="76" customWidth="1"/>
    <col min="4" max="4" width="98.85546875" style="76" customWidth="1"/>
    <col min="5" max="5" width="7.85546875" style="84" customWidth="1"/>
    <col min="6" max="7" width="7.85546875" style="76" hidden="1" customWidth="1"/>
    <col min="8" max="8" width="66.5703125" style="76" hidden="1" customWidth="1"/>
    <col min="9" max="16384" width="9.28515625" style="76"/>
  </cols>
  <sheetData>
    <row r="1" spans="1:8" ht="46.5" x14ac:dyDescent="0.25">
      <c r="A1" s="83"/>
      <c r="D1" s="45" t="s">
        <v>147</v>
      </c>
    </row>
    <row r="3" spans="1:8" ht="15.75" thickBot="1" x14ac:dyDescent="0.3"/>
    <row r="4" spans="1:8" ht="19.5" thickBot="1" x14ac:dyDescent="0.3">
      <c r="B4" s="202" t="str">
        <f>IF('Engineer Self Assessment'!B10="Skilled","Please answer all questions from below.  If you don’t know the answer don’t guess, leave it blank.",IF('Engineer Self Assessment'!B12="Skilled","Please answer all questions from below.  If you don’t know the answer don’t guess, leave it blank.","As you have said you are not skilled on Broadband or FTTC you do not need to complete this section."))</f>
        <v>As you have said you are not skilled on Broadband or FTTC you do not need to complete this section.</v>
      </c>
      <c r="C4" s="203"/>
      <c r="D4" s="203"/>
      <c r="E4" s="204"/>
    </row>
    <row r="5" spans="1:8" ht="32.25" thickBot="1" x14ac:dyDescent="0.3">
      <c r="H5" s="66" t="str">
        <f>"Your score - "&amp;Scoresheet!D8&amp;"/"&amp;Scoresheet!U8</f>
        <v>Your score - /40</v>
      </c>
    </row>
    <row r="6" spans="1:8" x14ac:dyDescent="0.25">
      <c r="C6" s="77"/>
      <c r="H6" s="44"/>
    </row>
    <row r="7" spans="1:8" ht="15.75" thickBot="1" x14ac:dyDescent="0.3"/>
    <row r="8" spans="1:8" x14ac:dyDescent="0.25">
      <c r="B8" s="46">
        <v>1</v>
      </c>
      <c r="C8" s="78" t="s">
        <v>88</v>
      </c>
      <c r="D8" s="85"/>
      <c r="E8" s="191"/>
      <c r="F8" s="194" t="str">
        <f>IF(E8="","",IF(G8=E8,1,0))</f>
        <v/>
      </c>
      <c r="G8" s="194" t="s">
        <v>45</v>
      </c>
      <c r="H8" s="197" t="str">
        <f>IF(F8&lt;&gt;1,"Incorrect:  MSR stands for Maximum Stable Rate.",IF(F8=1,"Correct",""))</f>
        <v>Incorrect:  MSR stands for Maximum Stable Rate.</v>
      </c>
    </row>
    <row r="9" spans="1:8" x14ac:dyDescent="0.25">
      <c r="B9" s="47"/>
      <c r="C9" s="72" t="s">
        <v>43</v>
      </c>
      <c r="D9" s="69" t="s">
        <v>91</v>
      </c>
      <c r="E9" s="192"/>
      <c r="F9" s="195"/>
      <c r="G9" s="195"/>
      <c r="H9" s="198"/>
    </row>
    <row r="10" spans="1:8" x14ac:dyDescent="0.25">
      <c r="B10" s="47"/>
      <c r="C10" s="72" t="s">
        <v>44</v>
      </c>
      <c r="D10" s="69" t="s">
        <v>90</v>
      </c>
      <c r="E10" s="192"/>
      <c r="F10" s="195"/>
      <c r="G10" s="195"/>
      <c r="H10" s="198"/>
    </row>
    <row r="11" spans="1:8" ht="15.75" thickBot="1" x14ac:dyDescent="0.3">
      <c r="B11" s="47"/>
      <c r="C11" s="72" t="s">
        <v>45</v>
      </c>
      <c r="D11" s="86" t="s">
        <v>89</v>
      </c>
      <c r="E11" s="192"/>
      <c r="F11" s="195"/>
      <c r="G11" s="195"/>
      <c r="H11" s="214"/>
    </row>
    <row r="12" spans="1:8" ht="15" customHeight="1" x14ac:dyDescent="0.25">
      <c r="B12" s="46">
        <v>2</v>
      </c>
      <c r="C12" s="79" t="s">
        <v>92</v>
      </c>
      <c r="D12" s="85"/>
      <c r="E12" s="191"/>
      <c r="F12" s="194" t="str">
        <f t="shared" ref="F12" si="0">IF(E12="","",IF(G12=E12,1,0))</f>
        <v/>
      </c>
      <c r="G12" s="194" t="s">
        <v>43</v>
      </c>
      <c r="H12" s="197" t="str">
        <f>IF(F12&lt;&gt;1,"Incorrect:  The maximum bit rate is the absolute sync rate that the line is capable of running at within the current profile due to the characteristics of the physical line and/or noise level.",IF(F12=1,"Correct",""))</f>
        <v>Incorrect:  The maximum bit rate is the absolute sync rate that the line is capable of running at within the current profile due to the characteristics of the physical line and/or noise level.</v>
      </c>
    </row>
    <row r="13" spans="1:8" x14ac:dyDescent="0.25">
      <c r="B13" s="47"/>
      <c r="C13" s="72" t="s">
        <v>43</v>
      </c>
      <c r="D13" s="69" t="s">
        <v>94</v>
      </c>
      <c r="E13" s="192"/>
      <c r="F13" s="195"/>
      <c r="G13" s="195"/>
      <c r="H13" s="198"/>
    </row>
    <row r="14" spans="1:8" x14ac:dyDescent="0.25">
      <c r="B14" s="47"/>
      <c r="C14" s="72" t="s">
        <v>44</v>
      </c>
      <c r="D14" s="86" t="s">
        <v>93</v>
      </c>
      <c r="E14" s="192"/>
      <c r="F14" s="195"/>
      <c r="G14" s="195"/>
      <c r="H14" s="198"/>
    </row>
    <row r="15" spans="1:8" ht="15.75" thickBot="1" x14ac:dyDescent="0.3">
      <c r="B15" s="48"/>
      <c r="C15" s="75" t="s">
        <v>45</v>
      </c>
      <c r="D15" s="88" t="s">
        <v>95</v>
      </c>
      <c r="E15" s="193"/>
      <c r="F15" s="195"/>
      <c r="G15" s="196"/>
      <c r="H15" s="214"/>
    </row>
    <row r="16" spans="1:8" ht="15" customHeight="1" x14ac:dyDescent="0.25">
      <c r="B16" s="46">
        <v>3</v>
      </c>
      <c r="C16" s="80" t="s">
        <v>96</v>
      </c>
      <c r="D16" s="89"/>
      <c r="E16" s="191"/>
      <c r="F16" s="194" t="str">
        <f t="shared" ref="F16" si="1">IF(E16="","",IF(G16=E16,1,0))</f>
        <v/>
      </c>
      <c r="G16" s="194" t="s">
        <v>44</v>
      </c>
      <c r="H16" s="197" t="str">
        <f>IF(F16&lt;&gt;1,"Incorrect:  Actual bit rate means the actual current sync rate which may be lower than the maximum bit rate due to any banding or capping applied to the circuit.",IF(F16=1,"Correct",""))</f>
        <v>Incorrect:  Actual bit rate means the actual current sync rate which may be lower than the maximum bit rate due to any banding or capping applied to the circuit.</v>
      </c>
    </row>
    <row r="17" spans="2:8" x14ac:dyDescent="0.25">
      <c r="B17" s="47"/>
      <c r="C17" s="81" t="s">
        <v>43</v>
      </c>
      <c r="D17" s="90" t="s">
        <v>94</v>
      </c>
      <c r="E17" s="192"/>
      <c r="F17" s="195"/>
      <c r="G17" s="195"/>
      <c r="H17" s="198"/>
    </row>
    <row r="18" spans="2:8" x14ac:dyDescent="0.25">
      <c r="B18" s="47"/>
      <c r="C18" s="82" t="s">
        <v>44</v>
      </c>
      <c r="D18" s="91" t="s">
        <v>93</v>
      </c>
      <c r="E18" s="192"/>
      <c r="F18" s="195"/>
      <c r="G18" s="195"/>
      <c r="H18" s="198"/>
    </row>
    <row r="19" spans="2:8" ht="15.75" thickBot="1" x14ac:dyDescent="0.3">
      <c r="B19" s="48"/>
      <c r="C19" s="82" t="s">
        <v>45</v>
      </c>
      <c r="D19" s="91" t="s">
        <v>95</v>
      </c>
      <c r="E19" s="193"/>
      <c r="F19" s="195"/>
      <c r="G19" s="196"/>
      <c r="H19" s="214"/>
    </row>
    <row r="20" spans="2:8" x14ac:dyDescent="0.25">
      <c r="B20" s="46">
        <v>4</v>
      </c>
      <c r="C20" s="79" t="s">
        <v>97</v>
      </c>
      <c r="D20" s="85"/>
      <c r="E20" s="191"/>
      <c r="F20" s="194" t="str">
        <f t="shared" ref="F20" si="2">IF(E20="","",IF(G20=E20,1,0))</f>
        <v/>
      </c>
      <c r="G20" s="194" t="s">
        <v>43</v>
      </c>
      <c r="H20" s="197" t="str">
        <f>IF(F20&lt;&gt;1,"Incorrect:  If you arrive onsite and the Hub is currently in sync, the best place to start would be to interrogate the Hub to get an idea of what may be going on.",IF(F20=1,"Correct",""))</f>
        <v>Incorrect:  If you arrive onsite and the Hub is currently in sync, the best place to start would be to interrogate the Hub to get an idea of what may be going on.</v>
      </c>
    </row>
    <row r="21" spans="2:8" x14ac:dyDescent="0.25">
      <c r="B21" s="47"/>
      <c r="C21" s="72" t="s">
        <v>43</v>
      </c>
      <c r="D21" s="69" t="s">
        <v>98</v>
      </c>
      <c r="E21" s="192"/>
      <c r="F21" s="195"/>
      <c r="G21" s="195"/>
      <c r="H21" s="198"/>
    </row>
    <row r="22" spans="2:8" x14ac:dyDescent="0.25">
      <c r="B22" s="47"/>
      <c r="C22" s="72" t="s">
        <v>44</v>
      </c>
      <c r="D22" s="86" t="s">
        <v>99</v>
      </c>
      <c r="E22" s="192"/>
      <c r="F22" s="195"/>
      <c r="G22" s="195"/>
      <c r="H22" s="198"/>
    </row>
    <row r="23" spans="2:8" ht="15.75" thickBot="1" x14ac:dyDescent="0.3">
      <c r="B23" s="48"/>
      <c r="C23" s="75" t="s">
        <v>45</v>
      </c>
      <c r="D23" s="88" t="s">
        <v>100</v>
      </c>
      <c r="E23" s="193"/>
      <c r="F23" s="195"/>
      <c r="G23" s="196"/>
      <c r="H23" s="214"/>
    </row>
    <row r="24" spans="2:8" x14ac:dyDescent="0.25">
      <c r="B24" s="46">
        <v>5</v>
      </c>
      <c r="C24" s="79" t="s">
        <v>101</v>
      </c>
      <c r="D24" s="85"/>
      <c r="E24" s="191"/>
      <c r="F24" s="194" t="str">
        <f t="shared" ref="F24" si="3">IF(E24="","",IF(G24=E24,1,0))</f>
        <v/>
      </c>
      <c r="G24" s="194" t="s">
        <v>44</v>
      </c>
      <c r="H24" s="197" t="str">
        <f>IF(F24&lt;&gt;1,"Incorrect:  You should only every have a Maximum of 4 filters on a Broadband circuit, any more than this could cause issues with the service.",IF(F24=1,"Correct",""))</f>
        <v>Incorrect:  You should only every have a Maximum of 4 filters on a Broadband circuit, any more than this could cause issues with the service.</v>
      </c>
    </row>
    <row r="25" spans="2:8" x14ac:dyDescent="0.25">
      <c r="B25" s="47"/>
      <c r="C25" s="72" t="s">
        <v>43</v>
      </c>
      <c r="D25" s="96" t="s">
        <v>104</v>
      </c>
      <c r="E25" s="192"/>
      <c r="F25" s="195"/>
      <c r="G25" s="195"/>
      <c r="H25" s="198"/>
    </row>
    <row r="26" spans="2:8" x14ac:dyDescent="0.25">
      <c r="B26" s="47"/>
      <c r="C26" s="72" t="s">
        <v>44</v>
      </c>
      <c r="D26" s="97" t="s">
        <v>103</v>
      </c>
      <c r="E26" s="192"/>
      <c r="F26" s="195"/>
      <c r="G26" s="195"/>
      <c r="H26" s="198"/>
    </row>
    <row r="27" spans="2:8" ht="15.75" thickBot="1" x14ac:dyDescent="0.3">
      <c r="B27" s="48"/>
      <c r="C27" s="75" t="s">
        <v>45</v>
      </c>
      <c r="D27" s="88" t="s">
        <v>102</v>
      </c>
      <c r="E27" s="193"/>
      <c r="F27" s="195"/>
      <c r="G27" s="196"/>
      <c r="H27" s="214"/>
    </row>
    <row r="28" spans="2:8" x14ac:dyDescent="0.25">
      <c r="B28" s="46">
        <v>6</v>
      </c>
      <c r="C28" s="79" t="s">
        <v>105</v>
      </c>
      <c r="D28" s="85"/>
      <c r="E28" s="191"/>
      <c r="F28" s="194" t="str">
        <f t="shared" ref="F28" si="4">IF(E28="","",IF(G28=E28,1,0))</f>
        <v/>
      </c>
      <c r="G28" s="194" t="s">
        <v>44</v>
      </c>
      <c r="H28" s="197" t="str">
        <f>IF(F28&lt;&gt;1,"Incorrect:  The correct default gateway for th BT Home Hub is 192.168.1.254 this would be the number you could type into your web browser to access theHome Hub.",IF(F28=1,"Correct",""))</f>
        <v>Incorrect:  The correct default gateway for th BT Home Hub is 192.168.1.254 this would be the number you could type into your web browser to access theHome Hub.</v>
      </c>
    </row>
    <row r="29" spans="2:8" x14ac:dyDescent="0.25">
      <c r="B29" s="47"/>
      <c r="C29" s="72" t="s">
        <v>43</v>
      </c>
      <c r="D29" s="86" t="s">
        <v>107</v>
      </c>
      <c r="E29" s="192"/>
      <c r="F29" s="195"/>
      <c r="G29" s="195"/>
      <c r="H29" s="198"/>
    </row>
    <row r="30" spans="2:8" x14ac:dyDescent="0.25">
      <c r="B30" s="47"/>
      <c r="C30" s="72" t="s">
        <v>44</v>
      </c>
      <c r="D30" s="69" t="s">
        <v>106</v>
      </c>
      <c r="E30" s="192"/>
      <c r="F30" s="195"/>
      <c r="G30" s="195"/>
      <c r="H30" s="198"/>
    </row>
    <row r="31" spans="2:8" ht="15.75" thickBot="1" x14ac:dyDescent="0.3">
      <c r="B31" s="48"/>
      <c r="C31" s="75" t="s">
        <v>45</v>
      </c>
      <c r="D31" s="88" t="s">
        <v>108</v>
      </c>
      <c r="E31" s="193"/>
      <c r="F31" s="195"/>
      <c r="G31" s="196"/>
      <c r="H31" s="214"/>
    </row>
    <row r="32" spans="2:8" ht="15" customHeight="1" x14ac:dyDescent="0.25">
      <c r="B32" s="46">
        <v>7</v>
      </c>
      <c r="C32" s="79" t="s">
        <v>148</v>
      </c>
      <c r="D32" s="85"/>
      <c r="E32" s="191"/>
      <c r="F32" s="194" t="str">
        <f t="shared" ref="F32" si="5">IF(E32="","",IF(G32=E32,1,0))</f>
        <v/>
      </c>
      <c r="G32" s="194" t="s">
        <v>44</v>
      </c>
      <c r="H32" s="197" t="str">
        <f>IF(F32&lt;&gt;1,"Incorrect:  On a windows PC press the windows button and type in CMD to open a command prompt then type in 'IP config' this will tell you all you need to know about the Network connection.",IF(F32=1,"Correct",""))</f>
        <v>Incorrect:  On a windows PC press the windows button and type in CMD to open a command prompt then type in 'IP config' this will tell you all you need to know about the Network connection.</v>
      </c>
    </row>
    <row r="33" spans="2:8" x14ac:dyDescent="0.25">
      <c r="B33" s="47"/>
      <c r="C33" s="72" t="s">
        <v>43</v>
      </c>
      <c r="D33" s="69" t="s">
        <v>109</v>
      </c>
      <c r="E33" s="192"/>
      <c r="F33" s="195"/>
      <c r="G33" s="195"/>
      <c r="H33" s="198"/>
    </row>
    <row r="34" spans="2:8" x14ac:dyDescent="0.25">
      <c r="B34" s="47"/>
      <c r="C34" s="72" t="s">
        <v>44</v>
      </c>
      <c r="D34" s="86" t="s">
        <v>110</v>
      </c>
      <c r="E34" s="192"/>
      <c r="F34" s="195"/>
      <c r="G34" s="195"/>
      <c r="H34" s="198"/>
    </row>
    <row r="35" spans="2:8" ht="15.75" thickBot="1" x14ac:dyDescent="0.3">
      <c r="B35" s="48"/>
      <c r="C35" s="75" t="s">
        <v>45</v>
      </c>
      <c r="D35" s="88" t="s">
        <v>149</v>
      </c>
      <c r="E35" s="193"/>
      <c r="F35" s="195"/>
      <c r="G35" s="196"/>
      <c r="H35" s="214"/>
    </row>
    <row r="36" spans="2:8" x14ac:dyDescent="0.25">
      <c r="B36" s="46">
        <v>8</v>
      </c>
      <c r="C36" s="79" t="s">
        <v>111</v>
      </c>
      <c r="D36" s="85"/>
      <c r="E36" s="191"/>
      <c r="F36" s="194" t="str">
        <f t="shared" ref="F36" si="6">IF(E36="","",IF(G36=E36,1,0))</f>
        <v/>
      </c>
      <c r="G36" s="194" t="s">
        <v>45</v>
      </c>
      <c r="H36" s="197" t="str">
        <f>IF(F36&lt;&gt;1,"Incorrect:  All of the options are correct, the details will usually be shown on the Hub.  However the customer can change these details so you may need to ask this information.",IF(F36=1,"Correct",""))</f>
        <v>Incorrect:  All of the options are correct, the details will usually be shown on the Hub.  However the customer can change these details so you may need to ask this information.</v>
      </c>
    </row>
    <row r="37" spans="2:8" x14ac:dyDescent="0.25">
      <c r="B37" s="47"/>
      <c r="C37" s="72" t="s">
        <v>43</v>
      </c>
      <c r="D37" s="69" t="s">
        <v>113</v>
      </c>
      <c r="E37" s="192"/>
      <c r="F37" s="195"/>
      <c r="G37" s="195"/>
      <c r="H37" s="198"/>
    </row>
    <row r="38" spans="2:8" x14ac:dyDescent="0.25">
      <c r="B38" s="47"/>
      <c r="C38" s="72" t="s">
        <v>44</v>
      </c>
      <c r="D38" s="86" t="s">
        <v>112</v>
      </c>
      <c r="E38" s="192"/>
      <c r="F38" s="195"/>
      <c r="G38" s="195"/>
      <c r="H38" s="198"/>
    </row>
    <row r="39" spans="2:8" ht="15.75" thickBot="1" x14ac:dyDescent="0.3">
      <c r="B39" s="48"/>
      <c r="C39" s="75" t="s">
        <v>45</v>
      </c>
      <c r="D39" s="88" t="s">
        <v>47</v>
      </c>
      <c r="E39" s="193"/>
      <c r="F39" s="195"/>
      <c r="G39" s="196"/>
      <c r="H39" s="214"/>
    </row>
    <row r="40" spans="2:8" x14ac:dyDescent="0.25">
      <c r="B40" s="46">
        <v>9</v>
      </c>
      <c r="C40" s="79" t="s">
        <v>150</v>
      </c>
      <c r="D40" s="85"/>
      <c r="E40" s="191"/>
      <c r="F40" s="194" t="str">
        <f t="shared" ref="F40" si="7">IF(E40="","",IF(G40=E40,1,0))</f>
        <v/>
      </c>
      <c r="G40" s="194" t="s">
        <v>44</v>
      </c>
      <c r="H40" s="197" t="str">
        <f>IF(F40&lt;&gt;1,"Incorrect:  It can take up to 10 days for the DLM (Dynamic Line Management) to profile the line and determine MSR.  You must explain this to the customer whenever you work on their line.",IF(F40=1,"Correct",""))</f>
        <v>Incorrect:  It can take up to 10 days for the DLM (Dynamic Line Management) to profile the line and determine MSR.  You must explain this to the customer whenever you work on their line.</v>
      </c>
    </row>
    <row r="41" spans="2:8" x14ac:dyDescent="0.25">
      <c r="B41" s="47"/>
      <c r="C41" s="72" t="s">
        <v>43</v>
      </c>
      <c r="D41" s="69" t="s">
        <v>114</v>
      </c>
      <c r="E41" s="192"/>
      <c r="F41" s="195"/>
      <c r="G41" s="195"/>
      <c r="H41" s="198"/>
    </row>
    <row r="42" spans="2:8" x14ac:dyDescent="0.25">
      <c r="B42" s="47"/>
      <c r="C42" s="72" t="s">
        <v>44</v>
      </c>
      <c r="D42" s="86" t="s">
        <v>115</v>
      </c>
      <c r="E42" s="192"/>
      <c r="F42" s="195"/>
      <c r="G42" s="195"/>
      <c r="H42" s="198"/>
    </row>
    <row r="43" spans="2:8" ht="15.75" thickBot="1" x14ac:dyDescent="0.3">
      <c r="B43" s="48"/>
      <c r="C43" s="75" t="s">
        <v>45</v>
      </c>
      <c r="D43" s="88" t="s">
        <v>116</v>
      </c>
      <c r="E43" s="193"/>
      <c r="F43" s="195"/>
      <c r="G43" s="196"/>
      <c r="H43" s="214"/>
    </row>
    <row r="44" spans="2:8" x14ac:dyDescent="0.25">
      <c r="B44" s="46">
        <v>10</v>
      </c>
      <c r="C44" s="79" t="s">
        <v>117</v>
      </c>
      <c r="D44" s="85"/>
      <c r="E44" s="191"/>
      <c r="F44" s="194" t="str">
        <f t="shared" ref="F44" si="8">IF(E44="","",IF(G44=E44,1,0))</f>
        <v/>
      </c>
      <c r="G44" s="194" t="s">
        <v>43</v>
      </c>
      <c r="H44" s="197" t="str">
        <f>IF(F44&lt;&gt;1,"Incorrect:  When looking for a REIN issue you should set a Medium wave radio, either in your van or hand held to 612kHz in order to help track down the cause of the interference.",IF(F44=1,"Correct",""))</f>
        <v>Incorrect:  When looking for a REIN issue you should set a Medium wave radio, either in your van or hand held to 612kHz in order to help track down the cause of the interference.</v>
      </c>
    </row>
    <row r="45" spans="2:8" x14ac:dyDescent="0.25">
      <c r="B45" s="47"/>
      <c r="C45" s="72" t="s">
        <v>43</v>
      </c>
      <c r="D45" s="69" t="s">
        <v>118</v>
      </c>
      <c r="E45" s="192"/>
      <c r="F45" s="195"/>
      <c r="G45" s="195"/>
      <c r="H45" s="198"/>
    </row>
    <row r="46" spans="2:8" x14ac:dyDescent="0.25">
      <c r="B46" s="47"/>
      <c r="C46" s="72" t="s">
        <v>44</v>
      </c>
      <c r="D46" s="86" t="s">
        <v>119</v>
      </c>
      <c r="E46" s="192"/>
      <c r="F46" s="195"/>
      <c r="G46" s="195"/>
      <c r="H46" s="198"/>
    </row>
    <row r="47" spans="2:8" ht="15.75" thickBot="1" x14ac:dyDescent="0.3">
      <c r="B47" s="48"/>
      <c r="C47" s="75" t="s">
        <v>45</v>
      </c>
      <c r="D47" s="88" t="s">
        <v>120</v>
      </c>
      <c r="E47" s="193"/>
      <c r="F47" s="195"/>
      <c r="G47" s="196"/>
      <c r="H47" s="214"/>
    </row>
    <row r="48" spans="2:8" ht="15" customHeight="1" x14ac:dyDescent="0.25">
      <c r="B48" s="46">
        <v>11</v>
      </c>
      <c r="C48" s="79" t="s">
        <v>121</v>
      </c>
      <c r="D48" s="85"/>
      <c r="E48" s="191"/>
      <c r="F48" s="194" t="str">
        <f t="shared" ref="F48" si="9">IF(E48="","",IF(G48=E48,1,0))</f>
        <v/>
      </c>
      <c r="G48" s="194" t="s">
        <v>44</v>
      </c>
      <c r="H48" s="197" t="str">
        <f>IF(F48&lt;&gt;1,"Incorrect:  An upload speed of 288Kbps would likely indicate a Fixed Rate Profile which is a product sold to some customers and does not indicate a fault on the line.",IF(F48=1,"Correct",""))</f>
        <v>Incorrect:  An upload speed of 288Kbps would likely indicate a Fixed Rate Profile which is a product sold to some customers and does not indicate a fault on the line.</v>
      </c>
    </row>
    <row r="49" spans="2:8" x14ac:dyDescent="0.25">
      <c r="B49" s="47"/>
      <c r="C49" s="72" t="s">
        <v>43</v>
      </c>
      <c r="D49" s="69" t="s">
        <v>122</v>
      </c>
      <c r="E49" s="192"/>
      <c r="F49" s="195"/>
      <c r="G49" s="195"/>
      <c r="H49" s="198"/>
    </row>
    <row r="50" spans="2:8" x14ac:dyDescent="0.25">
      <c r="B50" s="47"/>
      <c r="C50" s="72" t="s">
        <v>44</v>
      </c>
      <c r="D50" s="86" t="s">
        <v>123</v>
      </c>
      <c r="E50" s="192"/>
      <c r="F50" s="195"/>
      <c r="G50" s="195"/>
      <c r="H50" s="198"/>
    </row>
    <row r="51" spans="2:8" ht="15.75" thickBot="1" x14ac:dyDescent="0.3">
      <c r="B51" s="48"/>
      <c r="C51" s="75" t="s">
        <v>45</v>
      </c>
      <c r="D51" s="88" t="s">
        <v>124</v>
      </c>
      <c r="E51" s="193"/>
      <c r="F51" s="195"/>
      <c r="G51" s="196"/>
      <c r="H51" s="214"/>
    </row>
    <row r="52" spans="2:8" ht="15" customHeight="1" x14ac:dyDescent="0.25">
      <c r="B52" s="46">
        <v>12</v>
      </c>
      <c r="C52" s="200" t="s">
        <v>139</v>
      </c>
      <c r="D52" s="201"/>
      <c r="E52" s="191"/>
      <c r="F52" s="194" t="str">
        <f t="shared" ref="F52" si="10">IF(E52="","",IF(G52=E52,1,0))</f>
        <v/>
      </c>
      <c r="G52" s="194" t="s">
        <v>45</v>
      </c>
      <c r="H52" s="197" t="str">
        <f>IF(F52&lt;&gt;1,"Incorrect:  On a Base module, you must start your task from the NTE5 within the customers premises.",IF(F52=1,"Correct",""))</f>
        <v>Incorrect:  On a Base module, you must start your task from the NTE5 within the customers premises.</v>
      </c>
    </row>
    <row r="53" spans="2:8" x14ac:dyDescent="0.25">
      <c r="B53" s="47"/>
      <c r="C53" s="72" t="s">
        <v>43</v>
      </c>
      <c r="D53" s="69" t="s">
        <v>125</v>
      </c>
      <c r="E53" s="192"/>
      <c r="F53" s="195"/>
      <c r="G53" s="195"/>
      <c r="H53" s="198"/>
    </row>
    <row r="54" spans="2:8" x14ac:dyDescent="0.25">
      <c r="B54" s="47"/>
      <c r="C54" s="72" t="s">
        <v>44</v>
      </c>
      <c r="D54" s="86" t="s">
        <v>126</v>
      </c>
      <c r="E54" s="192"/>
      <c r="F54" s="195"/>
      <c r="G54" s="195"/>
      <c r="H54" s="198"/>
    </row>
    <row r="55" spans="2:8" ht="15.75" thickBot="1" x14ac:dyDescent="0.3">
      <c r="B55" s="48"/>
      <c r="C55" s="75" t="s">
        <v>45</v>
      </c>
      <c r="D55" s="88" t="s">
        <v>127</v>
      </c>
      <c r="E55" s="193"/>
      <c r="F55" s="195"/>
      <c r="G55" s="196"/>
      <c r="H55" s="214"/>
    </row>
    <row r="56" spans="2:8" ht="15" customHeight="1" x14ac:dyDescent="0.25">
      <c r="B56" s="46">
        <v>13</v>
      </c>
      <c r="C56" s="79" t="s">
        <v>138</v>
      </c>
      <c r="D56" s="85"/>
      <c r="E56" s="191"/>
      <c r="F56" s="194" t="str">
        <f t="shared" ref="F56" si="11">IF(E56="","",IF(G56=E56,1,0))</f>
        <v/>
      </c>
      <c r="G56" s="194" t="s">
        <v>45</v>
      </c>
      <c r="H56" s="197" t="str">
        <f>IF(F56&lt;&gt;1,"Incorrect:  On a base module, remove all non standard wiring, ensure an openreach branded NTE is fitted, replace the RF2 filter with an RF3 filter, PQ test the line, ADSL test on the line and then properly demonstrate the working line to the customer.",IF(F56=1,"Correct",""))</f>
        <v>Incorrect:  On a base module, remove all non standard wiring, ensure an openreach branded NTE is fitted, replace the RF2 filter with an RF3 filter, PQ test the line, ADSL test on the line and then properly demonstrate the working line to the customer.</v>
      </c>
    </row>
    <row r="57" spans="2:8" x14ac:dyDescent="0.25">
      <c r="B57" s="47"/>
      <c r="C57" s="72" t="s">
        <v>43</v>
      </c>
      <c r="D57" s="69" t="s">
        <v>128</v>
      </c>
      <c r="E57" s="192"/>
      <c r="F57" s="195"/>
      <c r="G57" s="195"/>
      <c r="H57" s="198"/>
    </row>
    <row r="58" spans="2:8" x14ac:dyDescent="0.25">
      <c r="B58" s="47"/>
      <c r="C58" s="72" t="s">
        <v>44</v>
      </c>
      <c r="D58" s="86" t="s">
        <v>129</v>
      </c>
      <c r="E58" s="192"/>
      <c r="F58" s="195"/>
      <c r="G58" s="195"/>
      <c r="H58" s="198"/>
    </row>
    <row r="59" spans="2:8" ht="15.75" thickBot="1" x14ac:dyDescent="0.3">
      <c r="B59" s="48"/>
      <c r="C59" s="75" t="s">
        <v>45</v>
      </c>
      <c r="D59" s="88" t="s">
        <v>47</v>
      </c>
      <c r="E59" s="193"/>
      <c r="F59" s="195"/>
      <c r="G59" s="196"/>
      <c r="H59" s="214"/>
    </row>
    <row r="60" spans="2:8" x14ac:dyDescent="0.25">
      <c r="B60" s="46">
        <v>14</v>
      </c>
      <c r="C60" s="79" t="s">
        <v>137</v>
      </c>
      <c r="D60" s="85"/>
      <c r="E60" s="191"/>
      <c r="F60" s="194" t="str">
        <f t="shared" ref="F60" si="12">IF(E60="","",IF(G60=E60,1,0))</f>
        <v/>
      </c>
      <c r="G60" s="194" t="s">
        <v>45</v>
      </c>
      <c r="H60" s="197" t="str">
        <f>IF(F60&lt;&gt;1,"Incorrect:  The purpose of this module is to improve the quality of the Openreach Metallic Pair where the PQT was passed but parameters suggest an underlying issue with the pair quality.",IF(F60=1,"Correct",""))</f>
        <v>Incorrect:  The purpose of this module is to improve the quality of the Openreach Metallic Pair where the PQT was passed but parameters suggest an underlying issue with the pair quality.</v>
      </c>
    </row>
    <row r="61" spans="2:8" x14ac:dyDescent="0.25">
      <c r="B61" s="47"/>
      <c r="C61" s="72" t="s">
        <v>43</v>
      </c>
      <c r="D61" s="69" t="s">
        <v>130</v>
      </c>
      <c r="E61" s="192"/>
      <c r="F61" s="195"/>
      <c r="G61" s="195"/>
      <c r="H61" s="198"/>
    </row>
    <row r="62" spans="2:8" x14ac:dyDescent="0.25">
      <c r="B62" s="47"/>
      <c r="C62" s="72" t="s">
        <v>44</v>
      </c>
      <c r="D62" s="86" t="s">
        <v>132</v>
      </c>
      <c r="E62" s="192"/>
      <c r="F62" s="195"/>
      <c r="G62" s="195"/>
      <c r="H62" s="198"/>
    </row>
    <row r="63" spans="2:8" ht="15.75" thickBot="1" x14ac:dyDescent="0.3">
      <c r="B63" s="48"/>
      <c r="C63" s="75" t="s">
        <v>45</v>
      </c>
      <c r="D63" s="88" t="s">
        <v>131</v>
      </c>
      <c r="E63" s="193"/>
      <c r="F63" s="195"/>
      <c r="G63" s="196"/>
      <c r="H63" s="214"/>
    </row>
    <row r="64" spans="2:8" ht="15" customHeight="1" x14ac:dyDescent="0.25">
      <c r="B64" s="46">
        <v>15</v>
      </c>
      <c r="C64" s="79" t="s">
        <v>136</v>
      </c>
      <c r="D64" s="85"/>
      <c r="E64" s="191"/>
      <c r="F64" s="194" t="str">
        <f t="shared" ref="F64" si="13">IF(E64="","",IF(G64=E64,1,0))</f>
        <v/>
      </c>
      <c r="G64" s="194" t="s">
        <v>43</v>
      </c>
      <c r="H64" s="197" t="str">
        <f>IF(F64&lt;&gt;1,"Incorrect:  The End user wiring module is only to examine, identify and resolve any internal wiring issues, you should not replace the Hub as part of this module.",IF(F64=1,"Correct",""))</f>
        <v>Incorrect:  The End user wiring module is only to examine, identify and resolve any internal wiring issues, you should not replace the Hub as part of this module.</v>
      </c>
    </row>
    <row r="65" spans="2:8" x14ac:dyDescent="0.25">
      <c r="B65" s="47"/>
      <c r="C65" s="72" t="s">
        <v>43</v>
      </c>
      <c r="D65" s="69" t="s">
        <v>133</v>
      </c>
      <c r="E65" s="192"/>
      <c r="F65" s="195"/>
      <c r="G65" s="195"/>
      <c r="H65" s="198"/>
    </row>
    <row r="66" spans="2:8" x14ac:dyDescent="0.25">
      <c r="B66" s="47"/>
      <c r="C66" s="72" t="s">
        <v>44</v>
      </c>
      <c r="D66" s="86" t="s">
        <v>134</v>
      </c>
      <c r="E66" s="192"/>
      <c r="F66" s="195"/>
      <c r="G66" s="195"/>
      <c r="H66" s="198"/>
    </row>
    <row r="67" spans="2:8" ht="15.75" thickBot="1" x14ac:dyDescent="0.3">
      <c r="B67" s="48"/>
      <c r="C67" s="75" t="s">
        <v>45</v>
      </c>
      <c r="D67" s="88" t="s">
        <v>47</v>
      </c>
      <c r="E67" s="193"/>
      <c r="F67" s="195"/>
      <c r="G67" s="196"/>
      <c r="H67" s="214"/>
    </row>
    <row r="68" spans="2:8" ht="15" customHeight="1" x14ac:dyDescent="0.25">
      <c r="B68" s="46">
        <v>16</v>
      </c>
      <c r="C68" s="79" t="s">
        <v>135</v>
      </c>
      <c r="D68" s="85"/>
      <c r="E68" s="191"/>
      <c r="F68" s="194" t="str">
        <f t="shared" ref="F68" si="14">IF(E68="","",IF(G68=E68,1,0))</f>
        <v/>
      </c>
      <c r="G68" s="194" t="s">
        <v>43</v>
      </c>
      <c r="H68" s="197" t="str">
        <f>IF(F68&lt;&gt;1,"Incorrect:  The purpose of the End user equipment module is to allow the engineer to resolve certain issues with the End user equipment via a coop-call.  No other work should be done for this module.",IF(F68=1,"Correct",""))</f>
        <v>Incorrect:  The purpose of the End user equipment module is to allow the engineer to resolve certain issues with the End user equipment via a coop-call.  No other work should be done for this module.</v>
      </c>
    </row>
    <row r="69" spans="2:8" x14ac:dyDescent="0.25">
      <c r="B69" s="47"/>
      <c r="C69" s="72" t="s">
        <v>43</v>
      </c>
      <c r="D69" s="69" t="s">
        <v>140</v>
      </c>
      <c r="E69" s="192"/>
      <c r="F69" s="195"/>
      <c r="G69" s="195"/>
      <c r="H69" s="198"/>
    </row>
    <row r="70" spans="2:8" x14ac:dyDescent="0.25">
      <c r="B70" s="47"/>
      <c r="C70" s="72" t="s">
        <v>44</v>
      </c>
      <c r="D70" s="86" t="s">
        <v>141</v>
      </c>
      <c r="E70" s="192"/>
      <c r="F70" s="195"/>
      <c r="G70" s="195"/>
      <c r="H70" s="198"/>
    </row>
    <row r="71" spans="2:8" ht="15.75" thickBot="1" x14ac:dyDescent="0.3">
      <c r="B71" s="48"/>
      <c r="C71" s="75" t="s">
        <v>45</v>
      </c>
      <c r="D71" s="88" t="s">
        <v>47</v>
      </c>
      <c r="E71" s="193"/>
      <c r="F71" s="195"/>
      <c r="G71" s="196"/>
      <c r="H71" s="214"/>
    </row>
    <row r="72" spans="2:8" x14ac:dyDescent="0.25">
      <c r="B72" s="46">
        <v>17</v>
      </c>
      <c r="C72" s="79" t="s">
        <v>151</v>
      </c>
      <c r="D72" s="85"/>
      <c r="E72" s="191"/>
      <c r="F72" s="194" t="str">
        <f t="shared" ref="F72" si="15">IF(E72="","",IF(G72=E72,1,0))</f>
        <v/>
      </c>
      <c r="G72" s="194" t="s">
        <v>43</v>
      </c>
      <c r="H72" s="197" t="str">
        <f>IF(F72&lt;&gt;1,"Incorrect:  As the length of the 'metallic path' increases, the Insertion loss increases.",IF(F72=1,"Correct",""))</f>
        <v>Incorrect:  As the length of the 'metallic path' increases, the Insertion loss increases.</v>
      </c>
    </row>
    <row r="73" spans="2:8" x14ac:dyDescent="0.25">
      <c r="B73" s="47"/>
      <c r="C73" s="72" t="s">
        <v>43</v>
      </c>
      <c r="D73" s="69" t="s">
        <v>152</v>
      </c>
      <c r="E73" s="192"/>
      <c r="F73" s="195"/>
      <c r="G73" s="195"/>
      <c r="H73" s="198"/>
    </row>
    <row r="74" spans="2:8" x14ac:dyDescent="0.25">
      <c r="B74" s="47"/>
      <c r="C74" s="72" t="s">
        <v>44</v>
      </c>
      <c r="D74" s="86" t="s">
        <v>153</v>
      </c>
      <c r="E74" s="192"/>
      <c r="F74" s="195"/>
      <c r="G74" s="195"/>
      <c r="H74" s="198"/>
    </row>
    <row r="75" spans="2:8" ht="15.75" thickBot="1" x14ac:dyDescent="0.3">
      <c r="B75" s="48"/>
      <c r="C75" s="75" t="s">
        <v>45</v>
      </c>
      <c r="D75" s="88" t="s">
        <v>154</v>
      </c>
      <c r="E75" s="193"/>
      <c r="F75" s="195"/>
      <c r="G75" s="196"/>
      <c r="H75" s="214"/>
    </row>
    <row r="76" spans="2:8" x14ac:dyDescent="0.25">
      <c r="B76" s="46">
        <v>18</v>
      </c>
      <c r="C76" s="79" t="s">
        <v>155</v>
      </c>
      <c r="D76" s="85"/>
      <c r="E76" s="191"/>
      <c r="F76" s="194" t="str">
        <f t="shared" ref="F76" si="16">IF(E76="","",IF(G76=E76,1,0))</f>
        <v/>
      </c>
      <c r="G76" s="194" t="s">
        <v>45</v>
      </c>
      <c r="H76" s="197" t="str">
        <f>IF(F76&lt;&gt;1,"Incorrect:  Both statements are true, the signal to Noise ratio is the difference between the received signal and the noise.  The target margin is reserved to make the line more stable.",IF(F76=1,"Correct",""))</f>
        <v>Incorrect:  Both statements are true, the signal to Noise ratio is the difference between the received signal and the noise.  The target margin is reserved to make the line more stable.</v>
      </c>
    </row>
    <row r="77" spans="2:8" x14ac:dyDescent="0.25">
      <c r="B77" s="47"/>
      <c r="C77" s="72" t="s">
        <v>43</v>
      </c>
      <c r="D77" s="69" t="s">
        <v>156</v>
      </c>
      <c r="E77" s="192"/>
      <c r="F77" s="195"/>
      <c r="G77" s="195"/>
      <c r="H77" s="198"/>
    </row>
    <row r="78" spans="2:8" x14ac:dyDescent="0.25">
      <c r="B78" s="47"/>
      <c r="C78" s="72" t="s">
        <v>44</v>
      </c>
      <c r="D78" s="86" t="s">
        <v>157</v>
      </c>
      <c r="E78" s="192"/>
      <c r="F78" s="195"/>
      <c r="G78" s="195"/>
      <c r="H78" s="198"/>
    </row>
    <row r="79" spans="2:8" ht="15.75" thickBot="1" x14ac:dyDescent="0.3">
      <c r="B79" s="48"/>
      <c r="C79" s="75" t="s">
        <v>45</v>
      </c>
      <c r="D79" s="88" t="s">
        <v>47</v>
      </c>
      <c r="E79" s="193"/>
      <c r="F79" s="195"/>
      <c r="G79" s="196"/>
      <c r="H79" s="214"/>
    </row>
    <row r="80" spans="2:8" x14ac:dyDescent="0.25">
      <c r="B80" s="46">
        <v>19</v>
      </c>
      <c r="C80" s="79" t="s">
        <v>158</v>
      </c>
      <c r="D80" s="85"/>
      <c r="E80" s="191"/>
      <c r="F80" s="194" t="str">
        <f t="shared" ref="F80" si="17">IF(E80="","",IF(G80=E80,1,0))</f>
        <v/>
      </c>
      <c r="G80" s="194" t="s">
        <v>43</v>
      </c>
      <c r="H80" s="197" t="str">
        <f>IF(F80&lt;&gt;1,"Incorrect:  CRC can detect an error, but is unable to correct it.",IF(F80=1,"Correct",""))</f>
        <v>Incorrect:  CRC can detect an error, but is unable to correct it.</v>
      </c>
    </row>
    <row r="81" spans="2:8" x14ac:dyDescent="0.25">
      <c r="B81" s="47"/>
      <c r="C81" s="72" t="s">
        <v>43</v>
      </c>
      <c r="D81" s="69" t="s">
        <v>159</v>
      </c>
      <c r="E81" s="192"/>
      <c r="F81" s="195"/>
      <c r="G81" s="195"/>
      <c r="H81" s="198"/>
    </row>
    <row r="82" spans="2:8" x14ac:dyDescent="0.25">
      <c r="B82" s="47"/>
      <c r="C82" s="72" t="s">
        <v>44</v>
      </c>
      <c r="D82" s="86" t="s">
        <v>160</v>
      </c>
      <c r="E82" s="192"/>
      <c r="F82" s="195"/>
      <c r="G82" s="195"/>
      <c r="H82" s="198"/>
    </row>
    <row r="83" spans="2:8" ht="15.75" thickBot="1" x14ac:dyDescent="0.3">
      <c r="B83" s="48"/>
      <c r="C83" s="75" t="s">
        <v>45</v>
      </c>
      <c r="D83" s="88" t="s">
        <v>161</v>
      </c>
      <c r="E83" s="193"/>
      <c r="F83" s="195"/>
      <c r="G83" s="196"/>
      <c r="H83" s="214"/>
    </row>
    <row r="84" spans="2:8" x14ac:dyDescent="0.25">
      <c r="B84" s="46">
        <v>20</v>
      </c>
      <c r="C84" s="79" t="s">
        <v>162</v>
      </c>
      <c r="D84" s="85"/>
      <c r="E84" s="191"/>
      <c r="F84" s="194" t="str">
        <f t="shared" ref="F84" si="18">IF(E84="","",IF(G84=E84,1,0))</f>
        <v/>
      </c>
      <c r="G84" s="194" t="s">
        <v>43</v>
      </c>
      <c r="H84" s="197" t="str">
        <f>IF(F84&lt;&gt;1,"Incorrect:  Switching Interleaving 'on' would most likely help with this issue.",IF(F84=1,"Correct",""))</f>
        <v>Incorrect:  Switching Interleaving 'on' would most likely help with this issue.</v>
      </c>
    </row>
    <row r="85" spans="2:8" x14ac:dyDescent="0.25">
      <c r="B85" s="47"/>
      <c r="C85" s="72" t="s">
        <v>43</v>
      </c>
      <c r="D85" s="69" t="s">
        <v>163</v>
      </c>
      <c r="E85" s="192"/>
      <c r="F85" s="195"/>
      <c r="G85" s="195"/>
      <c r="H85" s="198"/>
    </row>
    <row r="86" spans="2:8" x14ac:dyDescent="0.25">
      <c r="B86" s="47"/>
      <c r="C86" s="72" t="s">
        <v>44</v>
      </c>
      <c r="D86" s="86" t="s">
        <v>164</v>
      </c>
      <c r="E86" s="192"/>
      <c r="F86" s="195"/>
      <c r="G86" s="195"/>
      <c r="H86" s="198"/>
    </row>
    <row r="87" spans="2:8" ht="15.75" thickBot="1" x14ac:dyDescent="0.3">
      <c r="B87" s="48"/>
      <c r="C87" s="75" t="s">
        <v>45</v>
      </c>
      <c r="D87" s="88" t="s">
        <v>165</v>
      </c>
      <c r="E87" s="193"/>
      <c r="F87" s="195"/>
      <c r="G87" s="196"/>
      <c r="H87" s="214"/>
    </row>
    <row r="88" spans="2:8" x14ac:dyDescent="0.25">
      <c r="B88" s="46">
        <v>21</v>
      </c>
      <c r="C88" s="79" t="s">
        <v>166</v>
      </c>
      <c r="D88" s="85"/>
      <c r="E88" s="191"/>
      <c r="F88" s="194" t="str">
        <f t="shared" ref="F88" si="19">IF(E88="","",IF(G88=E88,1,0))</f>
        <v/>
      </c>
      <c r="G88" s="194" t="s">
        <v>44</v>
      </c>
      <c r="H88" s="197" t="str">
        <f>IF(F88&lt;&gt;1,"Incorrect:  Switching Interleaving 'off' would help reduce the signalling delay/latency and provide a better service for the customer so long as there are no other faults with the line.",IF(F88=1,"Correct",""))</f>
        <v>Incorrect:  Switching Interleaving 'off' would help reduce the signalling delay/latency and provide a better service for the customer so long as there are no other faults with the line.</v>
      </c>
    </row>
    <row r="89" spans="2:8" x14ac:dyDescent="0.25">
      <c r="B89" s="47"/>
      <c r="C89" s="72" t="s">
        <v>43</v>
      </c>
      <c r="D89" s="69" t="s">
        <v>163</v>
      </c>
      <c r="E89" s="192"/>
      <c r="F89" s="195"/>
      <c r="G89" s="195"/>
      <c r="H89" s="198"/>
    </row>
    <row r="90" spans="2:8" x14ac:dyDescent="0.25">
      <c r="B90" s="47"/>
      <c r="C90" s="72" t="s">
        <v>44</v>
      </c>
      <c r="D90" s="86" t="s">
        <v>167</v>
      </c>
      <c r="E90" s="192"/>
      <c r="F90" s="195"/>
      <c r="G90" s="195"/>
      <c r="H90" s="198"/>
    </row>
    <row r="91" spans="2:8" ht="15.75" thickBot="1" x14ac:dyDescent="0.3">
      <c r="B91" s="48"/>
      <c r="C91" s="75" t="s">
        <v>45</v>
      </c>
      <c r="D91" s="88" t="s">
        <v>165</v>
      </c>
      <c r="E91" s="193"/>
      <c r="F91" s="195"/>
      <c r="G91" s="196"/>
      <c r="H91" s="214"/>
    </row>
    <row r="92" spans="2:8" x14ac:dyDescent="0.25">
      <c r="B92" s="46">
        <v>22</v>
      </c>
      <c r="C92" s="79" t="s">
        <v>294</v>
      </c>
      <c r="D92" s="85"/>
      <c r="E92" s="191"/>
      <c r="F92" s="194" t="str">
        <f t="shared" ref="F92" si="20">IF(E92="","",IF(G92=E92,1,0))</f>
        <v/>
      </c>
      <c r="G92" s="194" t="s">
        <v>45</v>
      </c>
      <c r="H92" s="197" t="str">
        <f>IF(F92&lt;&gt;1,"Incorrect:  The DLM 'Dynamic Line Management' will try and find a better profile that may increase the speed of the line without adding too many errors or retrains.",IF(F92=1,"Correct",""))</f>
        <v>Incorrect:  The DLM 'Dynamic Line Management' will try and find a better profile that may increase the speed of the line without adding too many errors or retrains.</v>
      </c>
    </row>
    <row r="93" spans="2:8" x14ac:dyDescent="0.25">
      <c r="B93" s="47"/>
      <c r="C93" s="72" t="s">
        <v>43</v>
      </c>
      <c r="D93" s="69" t="s">
        <v>168</v>
      </c>
      <c r="E93" s="192"/>
      <c r="F93" s="195"/>
      <c r="G93" s="195"/>
      <c r="H93" s="198"/>
    </row>
    <row r="94" spans="2:8" x14ac:dyDescent="0.25">
      <c r="B94" s="47"/>
      <c r="C94" s="72" t="s">
        <v>44</v>
      </c>
      <c r="D94" s="86" t="s">
        <v>169</v>
      </c>
      <c r="E94" s="192"/>
      <c r="F94" s="195"/>
      <c r="G94" s="195"/>
      <c r="H94" s="198"/>
    </row>
    <row r="95" spans="2:8" ht="15.75" thickBot="1" x14ac:dyDescent="0.3">
      <c r="B95" s="48"/>
      <c r="C95" s="75" t="s">
        <v>45</v>
      </c>
      <c r="D95" s="88" t="s">
        <v>170</v>
      </c>
      <c r="E95" s="193"/>
      <c r="F95" s="195"/>
      <c r="G95" s="196"/>
      <c r="H95" s="214"/>
    </row>
    <row r="96" spans="2:8" x14ac:dyDescent="0.25">
      <c r="B96" s="46">
        <v>23</v>
      </c>
      <c r="C96" s="79" t="s">
        <v>746</v>
      </c>
      <c r="D96" s="85"/>
      <c r="E96" s="191"/>
      <c r="F96" s="194" t="str">
        <f t="shared" ref="F96" si="21">IF(E96="","",IF(G96=E96,1,0))</f>
        <v/>
      </c>
      <c r="G96" s="194" t="s">
        <v>45</v>
      </c>
      <c r="H96" s="197" t="str">
        <f>IF(F96&lt;&gt;1,"Incorrect:  On a frames direct task, you would always begin at the MDF.",IF(F96=1,"Correct",""))</f>
        <v>Incorrect:  On a frames direct task, you would always begin at the MDF.</v>
      </c>
    </row>
    <row r="97" spans="2:8" x14ac:dyDescent="0.25">
      <c r="B97" s="47"/>
      <c r="C97" s="72" t="s">
        <v>43</v>
      </c>
      <c r="D97" s="69" t="s">
        <v>171</v>
      </c>
      <c r="E97" s="192"/>
      <c r="F97" s="195"/>
      <c r="G97" s="195"/>
      <c r="H97" s="198"/>
    </row>
    <row r="98" spans="2:8" x14ac:dyDescent="0.25">
      <c r="B98" s="47"/>
      <c r="C98" s="72" t="s">
        <v>44</v>
      </c>
      <c r="D98" s="86" t="s">
        <v>172</v>
      </c>
      <c r="E98" s="192"/>
      <c r="F98" s="195"/>
      <c r="G98" s="195"/>
      <c r="H98" s="198"/>
    </row>
    <row r="99" spans="2:8" ht="15.75" thickBot="1" x14ac:dyDescent="0.3">
      <c r="B99" s="48"/>
      <c r="C99" s="75" t="s">
        <v>45</v>
      </c>
      <c r="D99" s="88" t="s">
        <v>173</v>
      </c>
      <c r="E99" s="193"/>
      <c r="F99" s="195"/>
      <c r="G99" s="196"/>
      <c r="H99" s="214"/>
    </row>
    <row r="100" spans="2:8" x14ac:dyDescent="0.25">
      <c r="B100" s="46">
        <v>24</v>
      </c>
      <c r="C100" s="79" t="s">
        <v>174</v>
      </c>
      <c r="D100" s="85"/>
      <c r="E100" s="191"/>
      <c r="F100" s="194" t="str">
        <f t="shared" ref="F100" si="22">IF(E100="","",IF(G100=E100,1,0))</f>
        <v/>
      </c>
      <c r="G100" s="194" t="s">
        <v>44</v>
      </c>
      <c r="H100" s="197" t="str">
        <f>IF(F100&lt;&gt;1,"Incorrect:  The Hub belongs to the communications provider and we do not swap them out as part of an SFI2 task.",IF(F100=1,"Correct",""))</f>
        <v>Incorrect:  The Hub belongs to the communications provider and we do not swap them out as part of an SFI2 task.</v>
      </c>
    </row>
    <row r="101" spans="2:8" x14ac:dyDescent="0.25">
      <c r="B101" s="47"/>
      <c r="C101" s="72" t="s">
        <v>43</v>
      </c>
      <c r="D101" s="69" t="s">
        <v>58</v>
      </c>
      <c r="E101" s="192"/>
      <c r="F101" s="195"/>
      <c r="G101" s="195"/>
      <c r="H101" s="198"/>
    </row>
    <row r="102" spans="2:8" x14ac:dyDescent="0.25">
      <c r="B102" s="47"/>
      <c r="C102" s="72" t="s">
        <v>44</v>
      </c>
      <c r="D102" s="86" t="s">
        <v>59</v>
      </c>
      <c r="E102" s="192"/>
      <c r="F102" s="195"/>
      <c r="G102" s="195"/>
      <c r="H102" s="198"/>
    </row>
    <row r="103" spans="2:8" ht="15.75" thickBot="1" x14ac:dyDescent="0.3">
      <c r="B103" s="48"/>
      <c r="C103" s="75" t="s">
        <v>45</v>
      </c>
      <c r="D103" s="88" t="s">
        <v>175</v>
      </c>
      <c r="E103" s="193"/>
      <c r="F103" s="195"/>
      <c r="G103" s="196"/>
      <c r="H103" s="214"/>
    </row>
    <row r="104" spans="2:8" x14ac:dyDescent="0.25">
      <c r="B104" s="46">
        <v>25</v>
      </c>
      <c r="C104" s="79" t="s">
        <v>176</v>
      </c>
      <c r="D104" s="85"/>
      <c r="E104" s="191"/>
      <c r="F104" s="194" t="str">
        <f t="shared" ref="F104" si="23">IF(E104="","",IF(G104=E104,1,0))</f>
        <v/>
      </c>
      <c r="G104" s="194" t="s">
        <v>45</v>
      </c>
      <c r="H104" s="197" t="str">
        <f>IF(F104&lt;&gt;1,"Incorrect:  The checklist provides feedback for the communications provider and is used to provide details for billing so that the provider is charged approprietaly.  It can also used to provide a relationship with the clear code and notes",IF(F104=1,"Correct",""))</f>
        <v>Incorrect:  The checklist provides feedback for the communications provider and is used to provide details for billing so that the provider is charged approprietaly.  It can also used to provide a relationship with the clear code and notes</v>
      </c>
    </row>
    <row r="105" spans="2:8" x14ac:dyDescent="0.25">
      <c r="B105" s="47"/>
      <c r="C105" s="72" t="s">
        <v>43</v>
      </c>
      <c r="D105" s="69" t="s">
        <v>178</v>
      </c>
      <c r="E105" s="192"/>
      <c r="F105" s="195"/>
      <c r="G105" s="195"/>
      <c r="H105" s="198"/>
    </row>
    <row r="106" spans="2:8" x14ac:dyDescent="0.25">
      <c r="B106" s="47"/>
      <c r="C106" s="72" t="s">
        <v>44</v>
      </c>
      <c r="D106" s="86" t="s">
        <v>179</v>
      </c>
      <c r="E106" s="192"/>
      <c r="F106" s="195"/>
      <c r="G106" s="195"/>
      <c r="H106" s="198"/>
    </row>
    <row r="107" spans="2:8" ht="15.75" thickBot="1" x14ac:dyDescent="0.3">
      <c r="B107" s="48"/>
      <c r="C107" s="75" t="s">
        <v>45</v>
      </c>
      <c r="D107" s="88" t="s">
        <v>177</v>
      </c>
      <c r="E107" s="193"/>
      <c r="F107" s="195"/>
      <c r="G107" s="196"/>
      <c r="H107" s="214"/>
    </row>
    <row r="108" spans="2:8" ht="27.95" customHeight="1" x14ac:dyDescent="0.25">
      <c r="B108" s="46">
        <v>26</v>
      </c>
      <c r="C108" s="200" t="s">
        <v>180</v>
      </c>
      <c r="D108" s="201"/>
      <c r="E108" s="191"/>
      <c r="F108" s="194" t="str">
        <f t="shared" ref="F108" si="24">IF(E108="","",IF(G108=E108,1,0))</f>
        <v/>
      </c>
      <c r="G108" s="194" t="s">
        <v>43</v>
      </c>
      <c r="H108" s="197" t="str">
        <f>IF(F108&lt;&gt;1,"Incorrect:  You should complete the task and add a note to the task with details from the communications provider after you have spoken with them.  Include a slip number from the CP or a reference number for tracking.",IF(F108=1,"Correct",""))</f>
        <v>Incorrect:  You should complete the task and add a note to the task with details from the communications provider after you have spoken with them.  Include a slip number from the CP or a reference number for tracking.</v>
      </c>
    </row>
    <row r="109" spans="2:8" x14ac:dyDescent="0.25">
      <c r="B109" s="47"/>
      <c r="C109" s="72" t="s">
        <v>43</v>
      </c>
      <c r="D109" s="69" t="s">
        <v>181</v>
      </c>
      <c r="E109" s="192"/>
      <c r="F109" s="195"/>
      <c r="G109" s="195"/>
      <c r="H109" s="198"/>
    </row>
    <row r="110" spans="2:8" x14ac:dyDescent="0.25">
      <c r="B110" s="47"/>
      <c r="C110" s="72" t="s">
        <v>44</v>
      </c>
      <c r="D110" s="86" t="s">
        <v>182</v>
      </c>
      <c r="E110" s="192"/>
      <c r="F110" s="195"/>
      <c r="G110" s="195"/>
      <c r="H110" s="198"/>
    </row>
    <row r="111" spans="2:8" ht="15.75" thickBot="1" x14ac:dyDescent="0.3">
      <c r="B111" s="48"/>
      <c r="C111" s="75" t="s">
        <v>45</v>
      </c>
      <c r="D111" s="88" t="s">
        <v>183</v>
      </c>
      <c r="E111" s="193"/>
      <c r="F111" s="195"/>
      <c r="G111" s="196"/>
      <c r="H111" s="214"/>
    </row>
    <row r="112" spans="2:8" ht="27.95" customHeight="1" x14ac:dyDescent="0.25">
      <c r="B112" s="46">
        <v>27</v>
      </c>
      <c r="C112" s="200" t="s">
        <v>184</v>
      </c>
      <c r="D112" s="201"/>
      <c r="E112" s="191"/>
      <c r="F112" s="194" t="str">
        <f t="shared" ref="F112" si="25">IF(E112="","",IF(G112=E112,1,0))</f>
        <v/>
      </c>
      <c r="G112" s="194" t="s">
        <v>44</v>
      </c>
      <c r="H112" s="197" t="str">
        <f>IF(F112&lt;&gt;1,"Incorrect:  If your PQ test fails you must continue to fault the line until you have a successful sync test, eclipse test and PQ test.",IF(F112=1,"Correct",""))</f>
        <v>Incorrect:  If your PQ test fails you must continue to fault the line until you have a successful sync test, eclipse test and PQ test.</v>
      </c>
    </row>
    <row r="113" spans="2:8" x14ac:dyDescent="0.25">
      <c r="B113" s="47"/>
      <c r="C113" s="72" t="s">
        <v>43</v>
      </c>
      <c r="D113" s="69" t="s">
        <v>186</v>
      </c>
      <c r="E113" s="192"/>
      <c r="F113" s="195"/>
      <c r="G113" s="195"/>
      <c r="H113" s="198"/>
    </row>
    <row r="114" spans="2:8" x14ac:dyDescent="0.25">
      <c r="B114" s="47"/>
      <c r="C114" s="72" t="s">
        <v>44</v>
      </c>
      <c r="D114" s="86" t="s">
        <v>185</v>
      </c>
      <c r="E114" s="192"/>
      <c r="F114" s="195"/>
      <c r="G114" s="195"/>
      <c r="H114" s="198"/>
    </row>
    <row r="115" spans="2:8" ht="15.75" thickBot="1" x14ac:dyDescent="0.3">
      <c r="B115" s="48"/>
      <c r="C115" s="75" t="s">
        <v>45</v>
      </c>
      <c r="D115" s="88" t="s">
        <v>187</v>
      </c>
      <c r="E115" s="193"/>
      <c r="F115" s="195"/>
      <c r="G115" s="196"/>
      <c r="H115" s="214"/>
    </row>
    <row r="116" spans="2:8" x14ac:dyDescent="0.25">
      <c r="B116" s="46">
        <v>28</v>
      </c>
      <c r="C116" s="79" t="s">
        <v>188</v>
      </c>
      <c r="D116" s="85"/>
      <c r="E116" s="191"/>
      <c r="F116" s="194" t="str">
        <f t="shared" ref="F116" si="26">IF(E116="","",IF(G116=E116,1,0))</f>
        <v/>
      </c>
      <c r="G116" s="194" t="s">
        <v>44</v>
      </c>
      <c r="H116" s="197" t="str">
        <f>IF(F116&lt;&gt;1,"Incorrect:  On a VDSL circuit the DSLAM is located near the PCP in its own PCP with a coppper link cable between the two cabinets.",IF(F116=1,"Correct",""))</f>
        <v>Incorrect:  On a VDSL circuit the DSLAM is located near the PCP in its own PCP with a coppper link cable between the two cabinets.</v>
      </c>
    </row>
    <row r="117" spans="2:8" x14ac:dyDescent="0.25">
      <c r="B117" s="47"/>
      <c r="C117" s="72" t="s">
        <v>43</v>
      </c>
      <c r="D117" s="69" t="s">
        <v>189</v>
      </c>
      <c r="E117" s="192"/>
      <c r="F117" s="195"/>
      <c r="G117" s="195"/>
      <c r="H117" s="198"/>
    </row>
    <row r="118" spans="2:8" x14ac:dyDescent="0.25">
      <c r="B118" s="47"/>
      <c r="C118" s="72" t="s">
        <v>44</v>
      </c>
      <c r="D118" s="86" t="s">
        <v>190</v>
      </c>
      <c r="E118" s="192"/>
      <c r="F118" s="195"/>
      <c r="G118" s="195"/>
      <c r="H118" s="198"/>
    </row>
    <row r="119" spans="2:8" ht="15.75" thickBot="1" x14ac:dyDescent="0.3">
      <c r="B119" s="48"/>
      <c r="C119" s="75" t="s">
        <v>45</v>
      </c>
      <c r="D119" s="88" t="s">
        <v>191</v>
      </c>
      <c r="E119" s="193"/>
      <c r="F119" s="195"/>
      <c r="G119" s="196"/>
      <c r="H119" s="214"/>
    </row>
    <row r="120" spans="2:8" x14ac:dyDescent="0.25">
      <c r="B120" s="46">
        <f>B116+1</f>
        <v>29</v>
      </c>
      <c r="C120" s="79" t="s">
        <v>192</v>
      </c>
      <c r="D120" s="85"/>
      <c r="E120" s="191"/>
      <c r="F120" s="194" t="str">
        <f t="shared" ref="F120" si="27">IF(E120="","",IF(G120=E120,1,0))</f>
        <v/>
      </c>
      <c r="G120" s="194" t="s">
        <v>45</v>
      </c>
      <c r="H120" s="197" t="str">
        <f>IF(F120&lt;&gt;1,"Incorrect:  The term xDSL refers collectively to all types of Digital Subscriber Lines.",IF(F120=1,"Correct",""))</f>
        <v>Incorrect:  The term xDSL refers collectively to all types of Digital Subscriber Lines.</v>
      </c>
    </row>
    <row r="121" spans="2:8" x14ac:dyDescent="0.25">
      <c r="B121" s="47"/>
      <c r="C121" s="72" t="s">
        <v>43</v>
      </c>
      <c r="D121" s="69" t="s">
        <v>193</v>
      </c>
      <c r="E121" s="192"/>
      <c r="F121" s="195"/>
      <c r="G121" s="195"/>
      <c r="H121" s="198"/>
    </row>
    <row r="122" spans="2:8" x14ac:dyDescent="0.25">
      <c r="B122" s="47"/>
      <c r="C122" s="72" t="s">
        <v>44</v>
      </c>
      <c r="D122" s="86" t="s">
        <v>194</v>
      </c>
      <c r="E122" s="192"/>
      <c r="F122" s="195"/>
      <c r="G122" s="195"/>
      <c r="H122" s="198"/>
    </row>
    <row r="123" spans="2:8" ht="15.75" thickBot="1" x14ac:dyDescent="0.3">
      <c r="B123" s="48"/>
      <c r="C123" s="75" t="s">
        <v>45</v>
      </c>
      <c r="D123" s="88" t="s">
        <v>195</v>
      </c>
      <c r="E123" s="193"/>
      <c r="F123" s="195"/>
      <c r="G123" s="196"/>
      <c r="H123" s="214"/>
    </row>
    <row r="124" spans="2:8" ht="27.95" customHeight="1" x14ac:dyDescent="0.25">
      <c r="B124" s="46">
        <f>B120+1</f>
        <v>30</v>
      </c>
      <c r="C124" s="200" t="s">
        <v>747</v>
      </c>
      <c r="D124" s="201"/>
      <c r="E124" s="191"/>
      <c r="F124" s="194" t="str">
        <f t="shared" ref="F124" si="28">IF(E124="","",IF(G124=E124,1,0))</f>
        <v/>
      </c>
      <c r="G124" s="194" t="s">
        <v>43</v>
      </c>
      <c r="H124" s="197" t="str">
        <f>IF(F124&lt;&gt;1,"Incorrect:  Apart from the Customers premises you could also find equipment to separate the broadband from the telephony at the DSLAM.",IF(F124=1,"Correct",""))</f>
        <v>Incorrect:  Apart from the Customers premises you could also find equipment to separate the broadband from the telephony at the DSLAM.</v>
      </c>
    </row>
    <row r="125" spans="2:8" x14ac:dyDescent="0.25">
      <c r="B125" s="47"/>
      <c r="C125" s="72" t="s">
        <v>43</v>
      </c>
      <c r="D125" s="69" t="s">
        <v>169</v>
      </c>
      <c r="E125" s="192"/>
      <c r="F125" s="195"/>
      <c r="G125" s="195"/>
      <c r="H125" s="198"/>
    </row>
    <row r="126" spans="2:8" x14ac:dyDescent="0.25">
      <c r="B126" s="47"/>
      <c r="C126" s="72" t="s">
        <v>44</v>
      </c>
      <c r="D126" s="86" t="s">
        <v>172</v>
      </c>
      <c r="E126" s="192"/>
      <c r="F126" s="195"/>
      <c r="G126" s="195"/>
      <c r="H126" s="198"/>
    </row>
    <row r="127" spans="2:8" ht="15.75" thickBot="1" x14ac:dyDescent="0.3">
      <c r="B127" s="48"/>
      <c r="C127" s="75" t="s">
        <v>45</v>
      </c>
      <c r="D127" s="88" t="s">
        <v>173</v>
      </c>
      <c r="E127" s="193"/>
      <c r="F127" s="196"/>
      <c r="G127" s="196"/>
      <c r="H127" s="214"/>
    </row>
    <row r="128" spans="2:8" ht="27.95" customHeight="1" x14ac:dyDescent="0.25">
      <c r="B128" s="46">
        <f>B124+1</f>
        <v>31</v>
      </c>
      <c r="C128" s="200" t="s">
        <v>196</v>
      </c>
      <c r="D128" s="201"/>
      <c r="E128" s="191"/>
      <c r="F128" s="194" t="str">
        <f t="shared" ref="F128" si="29">IF(E128="","",IF(G128=E128,1,0))</f>
        <v/>
      </c>
      <c r="G128" s="194" t="s">
        <v>43</v>
      </c>
      <c r="H128" s="197" t="str">
        <f>IF(F128&lt;&gt;1,"Incorrect:  You should contact the DCoE, they will then allocate a new port and mapping for your circuit.",IF(F128=1,"Correct",""))</f>
        <v>Incorrect:  You should contact the DCoE, they will then allocate a new port and mapping for your circuit.</v>
      </c>
    </row>
    <row r="129" spans="2:8" x14ac:dyDescent="0.25">
      <c r="B129" s="47"/>
      <c r="C129" s="72" t="s">
        <v>43</v>
      </c>
      <c r="D129" s="69" t="s">
        <v>197</v>
      </c>
      <c r="E129" s="192"/>
      <c r="F129" s="195"/>
      <c r="G129" s="195"/>
      <c r="H129" s="198"/>
    </row>
    <row r="130" spans="2:8" x14ac:dyDescent="0.25">
      <c r="B130" s="47"/>
      <c r="C130" s="72" t="s">
        <v>44</v>
      </c>
      <c r="D130" s="86" t="s">
        <v>198</v>
      </c>
      <c r="E130" s="192"/>
      <c r="F130" s="195"/>
      <c r="G130" s="195"/>
      <c r="H130" s="198"/>
    </row>
    <row r="131" spans="2:8" ht="15.75" thickBot="1" x14ac:dyDescent="0.3">
      <c r="B131" s="48"/>
      <c r="C131" s="75" t="s">
        <v>45</v>
      </c>
      <c r="D131" s="88" t="s">
        <v>199</v>
      </c>
      <c r="E131" s="193"/>
      <c r="F131" s="196"/>
      <c r="G131" s="196"/>
      <c r="H131" s="214"/>
    </row>
    <row r="132" spans="2:8" x14ac:dyDescent="0.25">
      <c r="B132" s="46">
        <f>B128+1</f>
        <v>32</v>
      </c>
      <c r="C132" s="79" t="s">
        <v>200</v>
      </c>
      <c r="D132" s="85"/>
      <c r="E132" s="191"/>
      <c r="F132" s="194" t="str">
        <f t="shared" ref="F132" si="30">IF(E132="","",IF(G132=E132,1,0))</f>
        <v/>
      </c>
      <c r="G132" s="194" t="s">
        <v>44</v>
      </c>
      <c r="H132" s="197" t="str">
        <f>IF(F132&lt;&gt;1,"Incorrect:  You can provide service onto a line with redcare but you must follow the correct procedures while installing.",IF(F132=1,"Correct",""))</f>
        <v>Incorrect:  You can provide service onto a line with redcare but you must follow the correct procedures while installing.</v>
      </c>
    </row>
    <row r="133" spans="2:8" x14ac:dyDescent="0.25">
      <c r="B133" s="47"/>
      <c r="C133" s="72" t="s">
        <v>43</v>
      </c>
      <c r="D133" s="69" t="s">
        <v>202</v>
      </c>
      <c r="E133" s="192"/>
      <c r="F133" s="195"/>
      <c r="G133" s="195"/>
      <c r="H133" s="198"/>
    </row>
    <row r="134" spans="2:8" x14ac:dyDescent="0.25">
      <c r="B134" s="47"/>
      <c r="C134" s="72" t="s">
        <v>44</v>
      </c>
      <c r="D134" s="86" t="s">
        <v>201</v>
      </c>
      <c r="E134" s="192"/>
      <c r="F134" s="195"/>
      <c r="G134" s="195"/>
      <c r="H134" s="198"/>
    </row>
    <row r="135" spans="2:8" ht="15.75" thickBot="1" x14ac:dyDescent="0.3">
      <c r="B135" s="48"/>
      <c r="C135" s="75" t="s">
        <v>45</v>
      </c>
      <c r="D135" s="88" t="s">
        <v>748</v>
      </c>
      <c r="E135" s="193"/>
      <c r="F135" s="196"/>
      <c r="G135" s="196"/>
      <c r="H135" s="214"/>
    </row>
    <row r="136" spans="2:8" ht="27.95" customHeight="1" x14ac:dyDescent="0.25">
      <c r="B136" s="46">
        <f>B132+1</f>
        <v>33</v>
      </c>
      <c r="C136" s="200" t="s">
        <v>203</v>
      </c>
      <c r="D136" s="201"/>
      <c r="E136" s="191"/>
      <c r="F136" s="194" t="str">
        <f t="shared" ref="F136" si="31">IF(E136="","",IF(G136=E136,1,0))</f>
        <v/>
      </c>
      <c r="G136" s="194" t="s">
        <v>43</v>
      </c>
      <c r="H136" s="197" t="str">
        <f>IF(F136&lt;&gt;1,"Incorrect:  If you are installing a Mk3 SSFP as part of the task then the RF2 filter can be removed and an RF3 filter is not required.",IF(F136=1,"Correct",""))</f>
        <v>Incorrect:  If you are installing a Mk3 SSFP as part of the task then the RF2 filter can be removed and an RF3 filter is not required.</v>
      </c>
    </row>
    <row r="137" spans="2:8" x14ac:dyDescent="0.25">
      <c r="B137" s="47"/>
      <c r="C137" s="72" t="s">
        <v>43</v>
      </c>
      <c r="D137" s="69" t="s">
        <v>204</v>
      </c>
      <c r="E137" s="192"/>
      <c r="F137" s="195"/>
      <c r="G137" s="195"/>
      <c r="H137" s="198"/>
    </row>
    <row r="138" spans="2:8" x14ac:dyDescent="0.25">
      <c r="B138" s="47"/>
      <c r="C138" s="72" t="s">
        <v>44</v>
      </c>
      <c r="D138" s="86" t="s">
        <v>205</v>
      </c>
      <c r="E138" s="192"/>
      <c r="F138" s="195"/>
      <c r="G138" s="195"/>
      <c r="H138" s="198"/>
    </row>
    <row r="139" spans="2:8" ht="15.75" thickBot="1" x14ac:dyDescent="0.3">
      <c r="B139" s="48"/>
      <c r="C139" s="75" t="s">
        <v>45</v>
      </c>
      <c r="D139" s="88" t="s">
        <v>206</v>
      </c>
      <c r="E139" s="193"/>
      <c r="F139" s="196"/>
      <c r="G139" s="196"/>
      <c r="H139" s="214"/>
    </row>
    <row r="140" spans="2:8" x14ac:dyDescent="0.25">
      <c r="B140" s="46">
        <f>B136+1</f>
        <v>34</v>
      </c>
      <c r="C140" s="79" t="s">
        <v>155</v>
      </c>
      <c r="D140" s="85"/>
      <c r="E140" s="191"/>
      <c r="F140" s="194" t="str">
        <f t="shared" ref="F140" si="32">IF(E140="","",IF(G140=E140,1,0))</f>
        <v/>
      </c>
      <c r="G140" s="194" t="s">
        <v>44</v>
      </c>
      <c r="H140" s="197" t="str">
        <f>IF(F140&lt;&gt;1,"Incorrect:  Swapping pairs can prove problematic because of cable fill.",IF(F140=1,"Correct",""))</f>
        <v>Incorrect:  Swapping pairs can prove problematic because of cable fill.</v>
      </c>
    </row>
    <row r="141" spans="2:8" x14ac:dyDescent="0.25">
      <c r="B141" s="47"/>
      <c r="C141" s="72" t="s">
        <v>43</v>
      </c>
      <c r="D141" s="69" t="s">
        <v>207</v>
      </c>
      <c r="E141" s="192"/>
      <c r="F141" s="195"/>
      <c r="G141" s="195"/>
      <c r="H141" s="198"/>
    </row>
    <row r="142" spans="2:8" x14ac:dyDescent="0.25">
      <c r="B142" s="47"/>
      <c r="C142" s="72" t="s">
        <v>44</v>
      </c>
      <c r="D142" s="86" t="s">
        <v>208</v>
      </c>
      <c r="E142" s="192"/>
      <c r="F142" s="195"/>
      <c r="G142" s="195"/>
      <c r="H142" s="198"/>
    </row>
    <row r="143" spans="2:8" ht="15.75" thickBot="1" x14ac:dyDescent="0.3">
      <c r="B143" s="48"/>
      <c r="C143" s="75" t="s">
        <v>45</v>
      </c>
      <c r="D143" s="88" t="s">
        <v>209</v>
      </c>
      <c r="E143" s="193"/>
      <c r="F143" s="196"/>
      <c r="G143" s="196"/>
      <c r="H143" s="214"/>
    </row>
    <row r="144" spans="2:8" x14ac:dyDescent="0.25">
      <c r="B144" s="46">
        <f>B140+1</f>
        <v>35</v>
      </c>
      <c r="C144" s="79" t="s">
        <v>210</v>
      </c>
      <c r="D144" s="85"/>
      <c r="E144" s="191"/>
      <c r="F144" s="194" t="str">
        <f t="shared" ref="F144" si="33">IF(E144="","",IF(G144=E144,1,0))</f>
        <v/>
      </c>
      <c r="G144" s="194" t="s">
        <v>45</v>
      </c>
      <c r="H144" s="197" t="str">
        <f>IF(F144&lt;&gt;1,"Incorrect:  Far end cross talk mainly effect ADSL and VDSL services.",IF(F144=1,"Correct",""))</f>
        <v>Incorrect:  Far end cross talk mainly effect ADSL and VDSL services.</v>
      </c>
    </row>
    <row r="145" spans="2:8" x14ac:dyDescent="0.25">
      <c r="B145" s="47"/>
      <c r="C145" s="72" t="s">
        <v>43</v>
      </c>
      <c r="D145" s="69" t="s">
        <v>211</v>
      </c>
      <c r="E145" s="192"/>
      <c r="F145" s="195"/>
      <c r="G145" s="195"/>
      <c r="H145" s="198"/>
    </row>
    <row r="146" spans="2:8" x14ac:dyDescent="0.25">
      <c r="B146" s="47"/>
      <c r="C146" s="72" t="s">
        <v>44</v>
      </c>
      <c r="D146" s="86" t="s">
        <v>212</v>
      </c>
      <c r="E146" s="192"/>
      <c r="F146" s="195"/>
      <c r="G146" s="195"/>
      <c r="H146" s="198"/>
    </row>
    <row r="147" spans="2:8" ht="15.75" thickBot="1" x14ac:dyDescent="0.3">
      <c r="B147" s="48"/>
      <c r="C147" s="75" t="s">
        <v>45</v>
      </c>
      <c r="D147" s="88" t="s">
        <v>213</v>
      </c>
      <c r="E147" s="193"/>
      <c r="F147" s="196"/>
      <c r="G147" s="196"/>
      <c r="H147" s="214"/>
    </row>
    <row r="148" spans="2:8" x14ac:dyDescent="0.25">
      <c r="B148" s="46">
        <f>B144+1</f>
        <v>36</v>
      </c>
      <c r="C148" s="79" t="s">
        <v>214</v>
      </c>
      <c r="D148" s="85"/>
      <c r="E148" s="191"/>
      <c r="F148" s="194" t="str">
        <f t="shared" ref="F148" si="34">IF(E148="","",IF(G148=E148,1,0))</f>
        <v/>
      </c>
      <c r="G148" s="194" t="s">
        <v>226</v>
      </c>
      <c r="H148" s="197" t="str">
        <f>IF(F148&lt;&gt;1,"Incorrect:  A downstream of 3,600 MTBE(ES) would indicate that the broadband line is working well.",IF(F148=1,"Correct",""))</f>
        <v>Incorrect:  A downstream of 3,600 MTBE(ES) would indicate that the broadband line is working well.</v>
      </c>
    </row>
    <row r="149" spans="2:8" x14ac:dyDescent="0.25">
      <c r="B149" s="47"/>
      <c r="C149" s="72" t="s">
        <v>43</v>
      </c>
      <c r="D149" s="69" t="s">
        <v>215</v>
      </c>
      <c r="E149" s="192"/>
      <c r="F149" s="195"/>
      <c r="G149" s="195"/>
      <c r="H149" s="198"/>
    </row>
    <row r="150" spans="2:8" x14ac:dyDescent="0.25">
      <c r="B150" s="47"/>
      <c r="C150" s="72" t="s">
        <v>44</v>
      </c>
      <c r="D150" s="87" t="s">
        <v>232</v>
      </c>
      <c r="E150" s="192"/>
      <c r="F150" s="195"/>
      <c r="G150" s="195"/>
      <c r="H150" s="198"/>
    </row>
    <row r="151" spans="2:8" x14ac:dyDescent="0.25">
      <c r="B151" s="47"/>
      <c r="C151" s="72" t="s">
        <v>45</v>
      </c>
      <c r="D151" s="86" t="s">
        <v>216</v>
      </c>
      <c r="E151" s="192"/>
      <c r="F151" s="195"/>
      <c r="G151" s="195"/>
      <c r="H151" s="198"/>
    </row>
    <row r="152" spans="2:8" ht="15.75" thickBot="1" x14ac:dyDescent="0.3">
      <c r="B152" s="48"/>
      <c r="C152" s="75" t="s">
        <v>226</v>
      </c>
      <c r="D152" s="88" t="s">
        <v>217</v>
      </c>
      <c r="E152" s="193"/>
      <c r="F152" s="196"/>
      <c r="G152" s="196"/>
      <c r="H152" s="214"/>
    </row>
    <row r="153" spans="2:8" x14ac:dyDescent="0.25">
      <c r="B153" s="46">
        <f>B148+1</f>
        <v>37</v>
      </c>
      <c r="C153" s="79" t="s">
        <v>218</v>
      </c>
      <c r="D153" s="85"/>
      <c r="E153" s="191"/>
      <c r="F153" s="194" t="str">
        <f t="shared" ref="F153" si="35">IF(E153="","",IF(G153=E153,1,0))</f>
        <v/>
      </c>
      <c r="G153" s="194" t="s">
        <v>45</v>
      </c>
      <c r="H153" s="197" t="str">
        <f>IF(F153&lt;&gt;1,"Incorrect:  You should only carry out a DLM reset after a line fault has been fixed or faulty modem replaced.",IF(F153=1,"Correct",""))</f>
        <v>Incorrect:  You should only carry out a DLM reset after a line fault has been fixed or faulty modem replaced.</v>
      </c>
    </row>
    <row r="154" spans="2:8" x14ac:dyDescent="0.25">
      <c r="B154" s="47"/>
      <c r="C154" s="72" t="s">
        <v>43</v>
      </c>
      <c r="D154" s="69" t="s">
        <v>219</v>
      </c>
      <c r="E154" s="192"/>
      <c r="F154" s="195"/>
      <c r="G154" s="195"/>
      <c r="H154" s="198"/>
    </row>
    <row r="155" spans="2:8" x14ac:dyDescent="0.25">
      <c r="B155" s="47"/>
      <c r="C155" s="72" t="s">
        <v>44</v>
      </c>
      <c r="D155" s="86" t="s">
        <v>220</v>
      </c>
      <c r="E155" s="192"/>
      <c r="F155" s="195"/>
      <c r="G155" s="195"/>
      <c r="H155" s="198"/>
    </row>
    <row r="156" spans="2:8" ht="15.75" thickBot="1" x14ac:dyDescent="0.3">
      <c r="B156" s="48"/>
      <c r="C156" s="75" t="s">
        <v>45</v>
      </c>
      <c r="D156" s="88" t="s">
        <v>221</v>
      </c>
      <c r="E156" s="193"/>
      <c r="F156" s="196"/>
      <c r="G156" s="196"/>
      <c r="H156" s="214"/>
    </row>
    <row r="157" spans="2:8" x14ac:dyDescent="0.25">
      <c r="B157" s="46">
        <f>B153+1</f>
        <v>38</v>
      </c>
      <c r="C157" s="79" t="s">
        <v>222</v>
      </c>
      <c r="D157" s="85"/>
      <c r="E157" s="191"/>
      <c r="F157" s="194" t="str">
        <f t="shared" ref="F157" si="36">IF(E157="","",IF(G157=E157,1,0))</f>
        <v/>
      </c>
      <c r="G157" s="194" t="s">
        <v>44</v>
      </c>
      <c r="H157" s="197" t="str">
        <f>IF(F157&lt;&gt;1,"Incorrect:  You should ask the customer if they could turn off the device to help confirm the REIN source (If safe to do so), you should never turn off customers equipment yourself.",IF(F157=1,"Correct",""))</f>
        <v>Incorrect:  You should ask the customer if they could turn off the device to help confirm the REIN source (If safe to do so), you should never turn off customers equipment yourself.</v>
      </c>
    </row>
    <row r="158" spans="2:8" x14ac:dyDescent="0.25">
      <c r="B158" s="47"/>
      <c r="C158" s="72" t="s">
        <v>43</v>
      </c>
      <c r="D158" s="69" t="s">
        <v>223</v>
      </c>
      <c r="E158" s="192"/>
      <c r="F158" s="195"/>
      <c r="G158" s="195"/>
      <c r="H158" s="198"/>
    </row>
    <row r="159" spans="2:8" x14ac:dyDescent="0.25">
      <c r="B159" s="47"/>
      <c r="C159" s="72" t="s">
        <v>44</v>
      </c>
      <c r="D159" s="86" t="s">
        <v>224</v>
      </c>
      <c r="E159" s="192"/>
      <c r="F159" s="195"/>
      <c r="G159" s="195"/>
      <c r="H159" s="198"/>
    </row>
    <row r="160" spans="2:8" x14ac:dyDescent="0.25">
      <c r="B160" s="47"/>
      <c r="C160" s="72" t="s">
        <v>45</v>
      </c>
      <c r="D160" s="86" t="s">
        <v>225</v>
      </c>
      <c r="E160" s="192"/>
      <c r="F160" s="195"/>
      <c r="G160" s="195"/>
      <c r="H160" s="198"/>
    </row>
    <row r="161" spans="2:8" ht="15.75" thickBot="1" x14ac:dyDescent="0.3">
      <c r="B161" s="48"/>
      <c r="C161" s="75" t="s">
        <v>226</v>
      </c>
      <c r="D161" s="88" t="s">
        <v>231</v>
      </c>
      <c r="E161" s="193"/>
      <c r="F161" s="196"/>
      <c r="G161" s="196"/>
      <c r="H161" s="214"/>
    </row>
    <row r="162" spans="2:8" x14ac:dyDescent="0.25">
      <c r="B162" s="46">
        <f>B157+1</f>
        <v>39</v>
      </c>
      <c r="C162" s="79" t="s">
        <v>227</v>
      </c>
      <c r="D162" s="85"/>
      <c r="E162" s="191"/>
      <c r="F162" s="194" t="str">
        <f t="shared" ref="F162" si="37">IF(E162="","",IF(G162=E162,1,0))</f>
        <v/>
      </c>
      <c r="G162" s="194" t="s">
        <v>226</v>
      </c>
      <c r="H162" s="197" t="str">
        <f>IF(F162&lt;&gt;1,"Incorrect:  Any of the conditions shown here can cause issues with the AC balance.",IF(F162=1,"Correct",""))</f>
        <v>Incorrect:  Any of the conditions shown here can cause issues with the AC balance.</v>
      </c>
    </row>
    <row r="163" spans="2:8" x14ac:dyDescent="0.25">
      <c r="B163" s="47"/>
      <c r="C163" s="72" t="s">
        <v>43</v>
      </c>
      <c r="D163" s="69" t="s">
        <v>228</v>
      </c>
      <c r="E163" s="192"/>
      <c r="F163" s="195"/>
      <c r="G163" s="195"/>
      <c r="H163" s="198"/>
    </row>
    <row r="164" spans="2:8" x14ac:dyDescent="0.25">
      <c r="B164" s="47"/>
      <c r="C164" s="72" t="s">
        <v>44</v>
      </c>
      <c r="D164" s="87" t="s">
        <v>229</v>
      </c>
      <c r="E164" s="192"/>
      <c r="F164" s="195"/>
      <c r="G164" s="195"/>
      <c r="H164" s="198"/>
    </row>
    <row r="165" spans="2:8" x14ac:dyDescent="0.25">
      <c r="B165" s="47"/>
      <c r="C165" s="72" t="s">
        <v>45</v>
      </c>
      <c r="D165" s="86" t="s">
        <v>230</v>
      </c>
      <c r="E165" s="192"/>
      <c r="F165" s="195"/>
      <c r="G165" s="195"/>
      <c r="H165" s="198"/>
    </row>
    <row r="166" spans="2:8" ht="15.75" thickBot="1" x14ac:dyDescent="0.3">
      <c r="B166" s="48"/>
      <c r="C166" s="75" t="s">
        <v>226</v>
      </c>
      <c r="D166" s="88" t="s">
        <v>47</v>
      </c>
      <c r="E166" s="193"/>
      <c r="F166" s="196"/>
      <c r="G166" s="196"/>
      <c r="H166" s="214"/>
    </row>
    <row r="167" spans="2:8" x14ac:dyDescent="0.25">
      <c r="B167" s="46">
        <f>B162+1</f>
        <v>40</v>
      </c>
      <c r="C167" s="79" t="s">
        <v>233</v>
      </c>
      <c r="D167" s="85"/>
      <c r="E167" s="191"/>
      <c r="F167" s="194" t="str">
        <f t="shared" ref="F167" si="38">IF(E167="","",IF(G167=E167,1,0))</f>
        <v/>
      </c>
      <c r="G167" s="194" t="s">
        <v>226</v>
      </c>
      <c r="H167" s="197" t="str">
        <f>IF(F167&lt;&gt;1,"Incorrect:  On a Broadband Boost task, you are working directly on behalf of the communications provider.",IF(F167=1,"Correct",""))</f>
        <v>Incorrect:  On a Broadband Boost task, you are working directly on behalf of the communications provider.</v>
      </c>
    </row>
    <row r="168" spans="2:8" x14ac:dyDescent="0.25">
      <c r="B168" s="47"/>
      <c r="C168" s="72" t="s">
        <v>43</v>
      </c>
      <c r="D168" s="87" t="s">
        <v>234</v>
      </c>
      <c r="E168" s="192"/>
      <c r="F168" s="195"/>
      <c r="G168" s="195"/>
      <c r="H168" s="198"/>
    </row>
    <row r="169" spans="2:8" x14ac:dyDescent="0.25">
      <c r="B169" s="47"/>
      <c r="C169" s="72" t="s">
        <v>44</v>
      </c>
      <c r="D169" s="87" t="s">
        <v>235</v>
      </c>
      <c r="E169" s="192"/>
      <c r="F169" s="195"/>
      <c r="G169" s="195"/>
      <c r="H169" s="198"/>
    </row>
    <row r="170" spans="2:8" x14ac:dyDescent="0.25">
      <c r="B170" s="47"/>
      <c r="C170" s="72" t="s">
        <v>45</v>
      </c>
      <c r="D170" s="86" t="s">
        <v>236</v>
      </c>
      <c r="E170" s="192"/>
      <c r="F170" s="195"/>
      <c r="G170" s="195"/>
      <c r="H170" s="198"/>
    </row>
    <row r="171" spans="2:8" ht="15.75" thickBot="1" x14ac:dyDescent="0.3">
      <c r="B171" s="48"/>
      <c r="C171" s="75" t="s">
        <v>226</v>
      </c>
      <c r="D171" s="88" t="s">
        <v>237</v>
      </c>
      <c r="E171" s="193"/>
      <c r="F171" s="196"/>
      <c r="G171" s="196"/>
      <c r="H171" s="214"/>
    </row>
    <row r="173" spans="2:8" ht="15.75" thickBot="1" x14ac:dyDescent="0.3"/>
    <row r="174" spans="2:8" x14ac:dyDescent="0.25">
      <c r="C174" s="205" t="s">
        <v>745</v>
      </c>
      <c r="D174" s="206"/>
      <c r="E174" s="207"/>
    </row>
    <row r="175" spans="2:8" x14ac:dyDescent="0.25">
      <c r="C175" s="208"/>
      <c r="D175" s="209"/>
      <c r="E175" s="210"/>
    </row>
    <row r="176" spans="2:8" ht="15.75" thickBot="1" x14ac:dyDescent="0.3">
      <c r="C176" s="211"/>
      <c r="D176" s="212"/>
      <c r="E176" s="213"/>
    </row>
  </sheetData>
  <sheetProtection sheet="1" objects="1" scenarios="1" selectLockedCells="1"/>
  <mergeCells count="168">
    <mergeCell ref="C174:E176"/>
    <mergeCell ref="B4:E4"/>
    <mergeCell ref="E8:E11"/>
    <mergeCell ref="F8:F11"/>
    <mergeCell ref="G8:G11"/>
    <mergeCell ref="H8:H11"/>
    <mergeCell ref="E12:E15"/>
    <mergeCell ref="F12:F15"/>
    <mergeCell ref="G12:G15"/>
    <mergeCell ref="H12:H15"/>
    <mergeCell ref="E24:E27"/>
    <mergeCell ref="F24:F27"/>
    <mergeCell ref="G24:G27"/>
    <mergeCell ref="H24:H27"/>
    <mergeCell ref="E28:E31"/>
    <mergeCell ref="F28:F31"/>
    <mergeCell ref="G28:G31"/>
    <mergeCell ref="H28:H31"/>
    <mergeCell ref="E16:E19"/>
    <mergeCell ref="F16:F19"/>
    <mergeCell ref="G16:G19"/>
    <mergeCell ref="H16:H19"/>
    <mergeCell ref="E20:E23"/>
    <mergeCell ref="F20:F23"/>
    <mergeCell ref="G20:G23"/>
    <mergeCell ref="H20:H23"/>
    <mergeCell ref="E40:E43"/>
    <mergeCell ref="F40:F43"/>
    <mergeCell ref="G40:G43"/>
    <mergeCell ref="H40:H43"/>
    <mergeCell ref="E44:E47"/>
    <mergeCell ref="F44:F47"/>
    <mergeCell ref="G44:G47"/>
    <mergeCell ref="H44:H47"/>
    <mergeCell ref="E32:E35"/>
    <mergeCell ref="F32:F35"/>
    <mergeCell ref="G32:G35"/>
    <mergeCell ref="H32:H35"/>
    <mergeCell ref="E36:E39"/>
    <mergeCell ref="F36:F39"/>
    <mergeCell ref="G36:G39"/>
    <mergeCell ref="H36:H39"/>
    <mergeCell ref="E48:E51"/>
    <mergeCell ref="F48:F51"/>
    <mergeCell ref="G48:G51"/>
    <mergeCell ref="H48:H51"/>
    <mergeCell ref="C52:D52"/>
    <mergeCell ref="E52:E55"/>
    <mergeCell ref="F52:F55"/>
    <mergeCell ref="G52:G55"/>
    <mergeCell ref="H52:H55"/>
    <mergeCell ref="E64:E67"/>
    <mergeCell ref="F64:F67"/>
    <mergeCell ref="G64:G67"/>
    <mergeCell ref="H64:H67"/>
    <mergeCell ref="E68:E71"/>
    <mergeCell ref="F68:F71"/>
    <mergeCell ref="G68:G71"/>
    <mergeCell ref="H68:H71"/>
    <mergeCell ref="E56:E59"/>
    <mergeCell ref="F56:F59"/>
    <mergeCell ref="G56:G59"/>
    <mergeCell ref="H56:H59"/>
    <mergeCell ref="E60:E63"/>
    <mergeCell ref="F60:F63"/>
    <mergeCell ref="G60:G63"/>
    <mergeCell ref="H60:H63"/>
    <mergeCell ref="E80:E83"/>
    <mergeCell ref="F80:F83"/>
    <mergeCell ref="G80:G83"/>
    <mergeCell ref="H80:H83"/>
    <mergeCell ref="E84:E87"/>
    <mergeCell ref="F84:F87"/>
    <mergeCell ref="G84:G87"/>
    <mergeCell ref="H84:H87"/>
    <mergeCell ref="E72:E75"/>
    <mergeCell ref="F72:F75"/>
    <mergeCell ref="G72:G75"/>
    <mergeCell ref="H72:H75"/>
    <mergeCell ref="E76:E79"/>
    <mergeCell ref="F76:F79"/>
    <mergeCell ref="G76:G79"/>
    <mergeCell ref="H76:H79"/>
    <mergeCell ref="E96:E99"/>
    <mergeCell ref="F96:F99"/>
    <mergeCell ref="G96:G99"/>
    <mergeCell ref="H96:H99"/>
    <mergeCell ref="E100:E103"/>
    <mergeCell ref="F100:F103"/>
    <mergeCell ref="G100:G103"/>
    <mergeCell ref="H100:H103"/>
    <mergeCell ref="E88:E91"/>
    <mergeCell ref="F88:F91"/>
    <mergeCell ref="G88:G91"/>
    <mergeCell ref="H88:H91"/>
    <mergeCell ref="E92:E95"/>
    <mergeCell ref="F92:F95"/>
    <mergeCell ref="G92:G95"/>
    <mergeCell ref="H92:H95"/>
    <mergeCell ref="G116:G119"/>
    <mergeCell ref="H116:H119"/>
    <mergeCell ref="E104:E107"/>
    <mergeCell ref="F104:F107"/>
    <mergeCell ref="G104:G107"/>
    <mergeCell ref="H104:H107"/>
    <mergeCell ref="E108:E111"/>
    <mergeCell ref="F108:F111"/>
    <mergeCell ref="G108:G111"/>
    <mergeCell ref="H108:H111"/>
    <mergeCell ref="C108:D108"/>
    <mergeCell ref="C112:D112"/>
    <mergeCell ref="E128:E131"/>
    <mergeCell ref="F128:F131"/>
    <mergeCell ref="G128:G131"/>
    <mergeCell ref="H128:H131"/>
    <mergeCell ref="E132:E135"/>
    <mergeCell ref="F132:F135"/>
    <mergeCell ref="G132:G135"/>
    <mergeCell ref="H132:H135"/>
    <mergeCell ref="E120:E123"/>
    <mergeCell ref="F120:F123"/>
    <mergeCell ref="G120:G123"/>
    <mergeCell ref="H120:H123"/>
    <mergeCell ref="E124:E127"/>
    <mergeCell ref="F124:F127"/>
    <mergeCell ref="G124:G127"/>
    <mergeCell ref="H124:H127"/>
    <mergeCell ref="E112:E115"/>
    <mergeCell ref="F112:F115"/>
    <mergeCell ref="G112:G115"/>
    <mergeCell ref="H112:H115"/>
    <mergeCell ref="E116:E119"/>
    <mergeCell ref="F116:F119"/>
    <mergeCell ref="F136:F139"/>
    <mergeCell ref="G136:G139"/>
    <mergeCell ref="H136:H139"/>
    <mergeCell ref="E140:E143"/>
    <mergeCell ref="F140:F143"/>
    <mergeCell ref="G140:G143"/>
    <mergeCell ref="H140:H143"/>
    <mergeCell ref="E144:E147"/>
    <mergeCell ref="F144:F147"/>
    <mergeCell ref="G144:G147"/>
    <mergeCell ref="H144:H147"/>
    <mergeCell ref="C124:D124"/>
    <mergeCell ref="C128:D128"/>
    <mergeCell ref="C136:D136"/>
    <mergeCell ref="E162:E166"/>
    <mergeCell ref="F162:F166"/>
    <mergeCell ref="G162:G166"/>
    <mergeCell ref="H162:H166"/>
    <mergeCell ref="E167:E171"/>
    <mergeCell ref="F167:F171"/>
    <mergeCell ref="G167:G171"/>
    <mergeCell ref="H167:H171"/>
    <mergeCell ref="E148:E152"/>
    <mergeCell ref="F148:F152"/>
    <mergeCell ref="G148:G152"/>
    <mergeCell ref="H148:H152"/>
    <mergeCell ref="E153:E156"/>
    <mergeCell ref="F153:F156"/>
    <mergeCell ref="G153:G156"/>
    <mergeCell ref="H153:H156"/>
    <mergeCell ref="E157:E161"/>
    <mergeCell ref="F157:F161"/>
    <mergeCell ref="G157:G161"/>
    <mergeCell ref="H157:H161"/>
    <mergeCell ref="E136:E139"/>
  </mergeCells>
  <conditionalFormatting sqref="H8:H127">
    <cfRule type="cellIs" dxfId="62" priority="24" operator="equal">
      <formula>"Correct"</formula>
    </cfRule>
  </conditionalFormatting>
  <conditionalFormatting sqref="H128:H131">
    <cfRule type="cellIs" dxfId="61" priority="23" operator="equal">
      <formula>"Correct"</formula>
    </cfRule>
  </conditionalFormatting>
  <conditionalFormatting sqref="H132:H135">
    <cfRule type="cellIs" dxfId="60" priority="22" operator="equal">
      <formula>"Correct"</formula>
    </cfRule>
  </conditionalFormatting>
  <conditionalFormatting sqref="H136:H139">
    <cfRule type="cellIs" dxfId="59" priority="21" operator="equal">
      <formula>"Correct"</formula>
    </cfRule>
  </conditionalFormatting>
  <conditionalFormatting sqref="H140:H143">
    <cfRule type="cellIs" dxfId="58" priority="20" operator="equal">
      <formula>"Correct"</formula>
    </cfRule>
  </conditionalFormatting>
  <conditionalFormatting sqref="H144:H147">
    <cfRule type="cellIs" dxfId="57" priority="19" operator="equal">
      <formula>"Correct"</formula>
    </cfRule>
  </conditionalFormatting>
  <conditionalFormatting sqref="H148:H152">
    <cfRule type="cellIs" dxfId="56" priority="18" operator="equal">
      <formula>"Correct"</formula>
    </cfRule>
  </conditionalFormatting>
  <conditionalFormatting sqref="H153:H156">
    <cfRule type="cellIs" dxfId="55" priority="17" operator="equal">
      <formula>"Correct"</formula>
    </cfRule>
  </conditionalFormatting>
  <conditionalFormatting sqref="H157:H161">
    <cfRule type="cellIs" dxfId="54" priority="16" operator="equal">
      <formula>"Correct"</formula>
    </cfRule>
  </conditionalFormatting>
  <conditionalFormatting sqref="H162:H166">
    <cfRule type="cellIs" dxfId="53" priority="14" operator="equal">
      <formula>"Correct"</formula>
    </cfRule>
  </conditionalFormatting>
  <conditionalFormatting sqref="H167:H171">
    <cfRule type="cellIs" dxfId="52" priority="13" operator="equal">
      <formula>"Correct"</formula>
    </cfRule>
  </conditionalFormatting>
  <dataValidations count="2">
    <dataValidation type="list" allowBlank="1" showInputMessage="1" showErrorMessage="1" sqref="E16 E20 E24 E28 E32 E36 E40 E44 E48 E52 E56 E100 E60 E64 E68 E72 E76 E80 E84 E88 E92 E96 E104 E108 E112 E116 E120 E124 E8:E12 E128 E132 E136 E140 E144 E153">
      <formula1>"A,B,C"</formula1>
    </dataValidation>
    <dataValidation type="list" allowBlank="1" showInputMessage="1" showErrorMessage="1" sqref="E148:E152 E157:E171">
      <formula1>"A,B,C,D"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H177"/>
  <sheetViews>
    <sheetView showGridLines="0" showRowColHeaders="0" workbookViewId="0">
      <selection activeCell="B14" sqref="B13:E20"/>
    </sheetView>
  </sheetViews>
  <sheetFormatPr defaultColWidth="9.28515625" defaultRowHeight="15" x14ac:dyDescent="0.25"/>
  <cols>
    <col min="1" max="1" width="3" style="139" customWidth="1"/>
    <col min="2" max="2" width="3" style="44" bestFit="1" customWidth="1"/>
    <col min="3" max="3" width="3.85546875" style="76" customWidth="1"/>
    <col min="4" max="4" width="98.85546875" style="76" customWidth="1"/>
    <col min="5" max="5" width="7.85546875" style="84" customWidth="1"/>
    <col min="6" max="7" width="7.85546875" style="76" hidden="1" customWidth="1"/>
    <col min="8" max="8" width="66.5703125" style="76" hidden="1" customWidth="1"/>
    <col min="9" max="9" width="0" style="76" hidden="1" customWidth="1"/>
    <col min="10" max="16384" width="9.28515625" style="76"/>
  </cols>
  <sheetData>
    <row r="1" spans="1:8" ht="46.5" x14ac:dyDescent="0.25">
      <c r="D1" s="45" t="s">
        <v>259</v>
      </c>
    </row>
    <row r="3" spans="1:8" ht="15.75" thickBot="1" x14ac:dyDescent="0.3"/>
    <row r="4" spans="1:8" ht="19.5" thickBot="1" x14ac:dyDescent="0.3">
      <c r="B4" s="202" t="str">
        <f>IF('Engineer Self Assessment'!B6="Skilled","Please answer all questions from below.  If you don’t know the answer don’t guess, leave it blank.","As you have said you are not skilled on CAL / OMI you do not need to complete this section.")</f>
        <v>As you have said you are not skilled on CAL / OMI you do not need to complete this section.</v>
      </c>
      <c r="C4" s="203"/>
      <c r="D4" s="203"/>
      <c r="E4" s="204"/>
    </row>
    <row r="5" spans="1:8" ht="32.25" thickBot="1" x14ac:dyDescent="0.3">
      <c r="H5" s="66" t="str">
        <f>"Your score - "&amp;Scoresheet!D9&amp;"/"&amp;Scoresheet!U9</f>
        <v>Your score - /40</v>
      </c>
    </row>
    <row r="6" spans="1:8" x14ac:dyDescent="0.25">
      <c r="C6" s="77"/>
    </row>
    <row r="7" spans="1:8" ht="15.75" thickBot="1" x14ac:dyDescent="0.3"/>
    <row r="8" spans="1:8" x14ac:dyDescent="0.25">
      <c r="A8" s="139" t="s">
        <v>352</v>
      </c>
      <c r="B8" s="46">
        <v>1</v>
      </c>
      <c r="C8" s="78" t="s">
        <v>264</v>
      </c>
      <c r="D8" s="85"/>
      <c r="E8" s="191"/>
      <c r="F8" s="194" t="str">
        <f>IF(E8="","",IF(G8=E8,1,0))</f>
        <v/>
      </c>
      <c r="G8" s="194" t="s">
        <v>44</v>
      </c>
      <c r="H8" s="197" t="str">
        <f>IF(F8&lt;&gt;1,"Incorrect:  You cannot climb a pole if there are wires below 5.2m crossing any road or carriageway.",IF(F8=1,"Correct",""))</f>
        <v>Incorrect:  You cannot climb a pole if there are wires below 5.2m crossing any road or carriageway.</v>
      </c>
    </row>
    <row r="9" spans="1:8" x14ac:dyDescent="0.25">
      <c r="B9" s="47"/>
      <c r="C9" s="72" t="s">
        <v>43</v>
      </c>
      <c r="D9" s="69" t="s">
        <v>260</v>
      </c>
      <c r="E9" s="192"/>
      <c r="F9" s="195"/>
      <c r="G9" s="195"/>
      <c r="H9" s="198"/>
    </row>
    <row r="10" spans="1:8" x14ac:dyDescent="0.25">
      <c r="B10" s="47"/>
      <c r="C10" s="72" t="s">
        <v>44</v>
      </c>
      <c r="D10" s="69" t="s">
        <v>261</v>
      </c>
      <c r="E10" s="192"/>
      <c r="F10" s="195"/>
      <c r="G10" s="195"/>
      <c r="H10" s="198"/>
    </row>
    <row r="11" spans="1:8" x14ac:dyDescent="0.25">
      <c r="B11" s="47"/>
      <c r="C11" s="72" t="s">
        <v>45</v>
      </c>
      <c r="D11" s="69" t="s">
        <v>262</v>
      </c>
      <c r="E11" s="192"/>
      <c r="F11" s="195"/>
      <c r="G11" s="195"/>
      <c r="H11" s="198"/>
    </row>
    <row r="12" spans="1:8" ht="15.75" thickBot="1" x14ac:dyDescent="0.3">
      <c r="B12" s="47"/>
      <c r="C12" s="72" t="s">
        <v>226</v>
      </c>
      <c r="D12" s="86" t="s">
        <v>263</v>
      </c>
      <c r="E12" s="192"/>
      <c r="F12" s="195"/>
      <c r="G12" s="195"/>
      <c r="H12" s="214"/>
    </row>
    <row r="13" spans="1:8" x14ac:dyDescent="0.25">
      <c r="A13" s="139" t="s">
        <v>352</v>
      </c>
      <c r="B13" s="46">
        <v>2</v>
      </c>
      <c r="C13" s="79" t="s">
        <v>749</v>
      </c>
      <c r="D13" s="85"/>
      <c r="E13" s="191"/>
      <c r="F13" s="194" t="str">
        <f t="shared" ref="F13" si="0">IF(E13="","",IF(G13=E13,1,0))</f>
        <v/>
      </c>
      <c r="G13" s="194" t="s">
        <v>45</v>
      </c>
      <c r="H13" s="197" t="str">
        <f>IF(F13&lt;&gt;1,"Incorrect:  All new dropwires should be raised to a minimum height of 5.9m when first installed over a normal carriageway.  If you cannot achieve 5.9m then you can install a dropwire above 5.5m so long as you raise an Cat 4 A1024.",IF(F13=1,"Correct",""))</f>
        <v>Incorrect:  All new dropwires should be raised to a minimum height of 5.9m when first installed over a normal carriageway.  If you cannot achieve 5.9m then you can install a dropwire above 5.5m so long as you raise an Cat 4 A1024.</v>
      </c>
    </row>
    <row r="14" spans="1:8" x14ac:dyDescent="0.25">
      <c r="B14" s="47"/>
      <c r="C14" s="72" t="s">
        <v>43</v>
      </c>
      <c r="D14" s="87" t="s">
        <v>267</v>
      </c>
      <c r="E14" s="192"/>
      <c r="F14" s="195"/>
      <c r="G14" s="195"/>
      <c r="H14" s="198"/>
    </row>
    <row r="15" spans="1:8" x14ac:dyDescent="0.25">
      <c r="B15" s="47"/>
      <c r="C15" s="72" t="s">
        <v>44</v>
      </c>
      <c r="D15" s="86" t="s">
        <v>266</v>
      </c>
      <c r="E15" s="192"/>
      <c r="F15" s="195"/>
      <c r="G15" s="195"/>
      <c r="H15" s="198"/>
    </row>
    <row r="16" spans="1:8" ht="15.75" thickBot="1" x14ac:dyDescent="0.3">
      <c r="B16" s="48"/>
      <c r="C16" s="75" t="s">
        <v>45</v>
      </c>
      <c r="D16" s="88" t="s">
        <v>391</v>
      </c>
      <c r="E16" s="193"/>
      <c r="F16" s="195"/>
      <c r="G16" s="196"/>
      <c r="H16" s="214"/>
    </row>
    <row r="17" spans="1:8" x14ac:dyDescent="0.25">
      <c r="A17" s="139" t="s">
        <v>352</v>
      </c>
      <c r="B17" s="46">
        <v>3</v>
      </c>
      <c r="C17" s="80" t="s">
        <v>268</v>
      </c>
      <c r="D17" s="89"/>
      <c r="E17" s="191"/>
      <c r="F17" s="194" t="str">
        <f t="shared" ref="F17" si="1">IF(E17="","",IF(G17=E17,1,0))</f>
        <v/>
      </c>
      <c r="G17" s="194" t="s">
        <v>45</v>
      </c>
      <c r="H17" s="197" t="str">
        <f>IF(F17&lt;&gt;1,"Incorrect:  You should always measure at the lowest point where the drop-wire crosses the road.",IF(F17=1,"Correct",""))</f>
        <v>Incorrect:  You should always measure at the lowest point where the drop-wire crosses the road.</v>
      </c>
    </row>
    <row r="18" spans="1:8" x14ac:dyDescent="0.25">
      <c r="B18" s="47"/>
      <c r="C18" s="81" t="s">
        <v>43</v>
      </c>
      <c r="D18" s="90" t="s">
        <v>269</v>
      </c>
      <c r="E18" s="192"/>
      <c r="F18" s="195"/>
      <c r="G18" s="195"/>
      <c r="H18" s="198"/>
    </row>
    <row r="19" spans="1:8" x14ac:dyDescent="0.25">
      <c r="B19" s="47"/>
      <c r="C19" s="82" t="s">
        <v>44</v>
      </c>
      <c r="D19" s="91" t="s">
        <v>270</v>
      </c>
      <c r="E19" s="192"/>
      <c r="F19" s="195"/>
      <c r="G19" s="195"/>
      <c r="H19" s="198"/>
    </row>
    <row r="20" spans="1:8" ht="15.75" thickBot="1" x14ac:dyDescent="0.3">
      <c r="B20" s="48"/>
      <c r="C20" s="82" t="s">
        <v>45</v>
      </c>
      <c r="D20" s="91" t="s">
        <v>271</v>
      </c>
      <c r="E20" s="193"/>
      <c r="F20" s="195"/>
      <c r="G20" s="196"/>
      <c r="H20" s="214"/>
    </row>
    <row r="21" spans="1:8" x14ac:dyDescent="0.25">
      <c r="A21" s="139" t="s">
        <v>352</v>
      </c>
      <c r="B21" s="46">
        <v>4</v>
      </c>
      <c r="C21" s="79" t="s">
        <v>291</v>
      </c>
      <c r="D21" s="85"/>
      <c r="E21" s="191"/>
      <c r="F21" s="194" t="str">
        <f t="shared" ref="F21" si="2">IF(E21="","",IF(G21=E21,1,0))</f>
        <v/>
      </c>
      <c r="G21" s="194" t="s">
        <v>43</v>
      </c>
      <c r="H21" s="197" t="str">
        <f>IF(F21&lt;&gt;1,"Incorrect:  You must only retension a drop-wire from the top of a pole while securely fastened in with a safety belt 11.  Never retension a dropwire from a ladder.",IF(F21=1,"Correct",""))</f>
        <v>Incorrect:  You must only retension a drop-wire from the top of a pole while securely fastened in with a safety belt 11.  Never retension a dropwire from a ladder.</v>
      </c>
    </row>
    <row r="22" spans="1:8" x14ac:dyDescent="0.25">
      <c r="B22" s="47"/>
      <c r="C22" s="72" t="s">
        <v>43</v>
      </c>
      <c r="D22" s="69" t="s">
        <v>293</v>
      </c>
      <c r="E22" s="192"/>
      <c r="F22" s="195"/>
      <c r="G22" s="195"/>
      <c r="H22" s="198"/>
    </row>
    <row r="23" spans="1:8" x14ac:dyDescent="0.25">
      <c r="B23" s="47"/>
      <c r="C23" s="72" t="s">
        <v>44</v>
      </c>
      <c r="D23" s="87" t="s">
        <v>292</v>
      </c>
      <c r="E23" s="192"/>
      <c r="F23" s="195"/>
      <c r="G23" s="195"/>
      <c r="H23" s="198"/>
    </row>
    <row r="24" spans="1:8" ht="15.75" thickBot="1" x14ac:dyDescent="0.3">
      <c r="B24" s="48"/>
      <c r="C24" s="75" t="s">
        <v>45</v>
      </c>
      <c r="D24" s="88" t="s">
        <v>750</v>
      </c>
      <c r="E24" s="193"/>
      <c r="F24" s="195"/>
      <c r="G24" s="196"/>
      <c r="H24" s="214"/>
    </row>
    <row r="25" spans="1:8" ht="15" customHeight="1" x14ac:dyDescent="0.25">
      <c r="A25" s="139" t="s">
        <v>352</v>
      </c>
      <c r="B25" s="46">
        <v>5</v>
      </c>
      <c r="C25" s="200" t="s">
        <v>386</v>
      </c>
      <c r="D25" s="201"/>
      <c r="E25" s="191"/>
      <c r="F25" s="194" t="str">
        <f t="shared" ref="F25" si="3">IF(E25="","",IF(G25=E25,1,0))</f>
        <v/>
      </c>
      <c r="G25" s="194" t="s">
        <v>226</v>
      </c>
      <c r="H25" s="197" t="str">
        <f>IF(F25&lt;&gt;1,"Incorrect:  You should never install a dropwire that doesn’t reach the minimum safe height, these rules are there for yours and the publics safety and should never be ignored.",IF(F25=1,"Correct",""))</f>
        <v>Incorrect:  You should never install a dropwire that doesn’t reach the minimum safe height, these rules are there for yours and the publics safety and should never be ignored.</v>
      </c>
    </row>
    <row r="26" spans="1:8" x14ac:dyDescent="0.25">
      <c r="B26" s="47"/>
      <c r="C26" s="72" t="s">
        <v>43</v>
      </c>
      <c r="D26" s="86" t="s">
        <v>387</v>
      </c>
      <c r="E26" s="192"/>
      <c r="F26" s="195"/>
      <c r="G26" s="195"/>
      <c r="H26" s="198"/>
    </row>
    <row r="27" spans="1:8" x14ac:dyDescent="0.25">
      <c r="B27" s="47"/>
      <c r="C27" s="72" t="s">
        <v>44</v>
      </c>
      <c r="D27" s="86" t="s">
        <v>389</v>
      </c>
      <c r="E27" s="192"/>
      <c r="F27" s="195"/>
      <c r="G27" s="195"/>
      <c r="H27" s="198"/>
    </row>
    <row r="28" spans="1:8" x14ac:dyDescent="0.25">
      <c r="B28" s="47"/>
      <c r="C28" s="72" t="s">
        <v>45</v>
      </c>
      <c r="D28" s="91" t="s">
        <v>388</v>
      </c>
      <c r="E28" s="192"/>
      <c r="F28" s="195"/>
      <c r="G28" s="195"/>
      <c r="H28" s="198"/>
    </row>
    <row r="29" spans="1:8" ht="15.75" thickBot="1" x14ac:dyDescent="0.3">
      <c r="B29" s="48"/>
      <c r="C29" s="75" t="s">
        <v>226</v>
      </c>
      <c r="D29" s="88" t="s">
        <v>390</v>
      </c>
      <c r="E29" s="193"/>
      <c r="F29" s="195"/>
      <c r="G29" s="196"/>
      <c r="H29" s="214"/>
    </row>
    <row r="30" spans="1:8" ht="27.95" customHeight="1" x14ac:dyDescent="0.25">
      <c r="A30" s="139" t="s">
        <v>354</v>
      </c>
      <c r="B30" s="46">
        <v>6</v>
      </c>
      <c r="C30" s="200" t="s">
        <v>279</v>
      </c>
      <c r="D30" s="201"/>
      <c r="E30" s="191"/>
      <c r="F30" s="194" t="str">
        <f t="shared" ref="F30" si="4">IF(E30="","",IF(G30=E30,1,0))</f>
        <v/>
      </c>
      <c r="G30" s="194" t="s">
        <v>43</v>
      </c>
      <c r="H30" s="197" t="str">
        <f>IF(F30&lt;&gt;1,"Incorrect:  You must not install more than 2m of external wiring into the customers premises regardless of the customers chosen location for the NTE5.",IF(F30=1,"Correct",""))</f>
        <v>Incorrect:  You must not install more than 2m of external wiring into the customers premises regardless of the customers chosen location for the NTE5.</v>
      </c>
    </row>
    <row r="31" spans="1:8" x14ac:dyDescent="0.25">
      <c r="B31" s="47"/>
      <c r="C31" s="72" t="s">
        <v>43</v>
      </c>
      <c r="D31" s="86" t="s">
        <v>280</v>
      </c>
      <c r="E31" s="192"/>
      <c r="F31" s="195"/>
      <c r="G31" s="195"/>
      <c r="H31" s="198"/>
    </row>
    <row r="32" spans="1:8" x14ac:dyDescent="0.25">
      <c r="B32" s="47"/>
      <c r="C32" s="72" t="s">
        <v>44</v>
      </c>
      <c r="D32" s="69" t="s">
        <v>265</v>
      </c>
      <c r="E32" s="192"/>
      <c r="F32" s="195"/>
      <c r="G32" s="195"/>
      <c r="H32" s="198"/>
    </row>
    <row r="33" spans="1:8" ht="15.75" thickBot="1" x14ac:dyDescent="0.3">
      <c r="B33" s="48"/>
      <c r="C33" s="75" t="s">
        <v>45</v>
      </c>
      <c r="D33" s="88" t="s">
        <v>281</v>
      </c>
      <c r="E33" s="193"/>
      <c r="F33" s="195"/>
      <c r="G33" s="196"/>
      <c r="H33" s="214"/>
    </row>
    <row r="34" spans="1:8" x14ac:dyDescent="0.25">
      <c r="A34" s="139" t="s">
        <v>354</v>
      </c>
      <c r="B34" s="46">
        <v>7</v>
      </c>
      <c r="C34" s="79" t="s">
        <v>282</v>
      </c>
      <c r="D34" s="85"/>
      <c r="E34" s="191"/>
      <c r="F34" s="194" t="str">
        <f t="shared" ref="F34" si="5">IF(E34="","",IF(G34=E34,1,0))</f>
        <v/>
      </c>
      <c r="G34" s="194" t="s">
        <v>44</v>
      </c>
      <c r="H34" s="197" t="str">
        <f>IF(F34&lt;&gt;1,"Incorrect:  When you give a POI, you should always ensure that is easily identifiable from the details you give, always indicate the type of structure, address details should be as accurate as possible."&amp;"  In this instance DP24 Outside number 72 Newton Road, Glenrothes, KY7 6HX",IF(F34=1,"Correct",""))</f>
        <v>Incorrect:  When you give a POI, you should always ensure that is easily identifiable from the details you give, always indicate the type of structure, address details should be as accurate as possible.  In this instance DP24 Outside number 72 Newton Road, Glenrothes, KY7 6HX</v>
      </c>
    </row>
    <row r="35" spans="1:8" x14ac:dyDescent="0.25">
      <c r="B35" s="47"/>
      <c r="C35" s="72" t="s">
        <v>43</v>
      </c>
      <c r="D35" s="69" t="s">
        <v>792</v>
      </c>
      <c r="E35" s="192"/>
      <c r="F35" s="195"/>
      <c r="G35" s="195"/>
      <c r="H35" s="198"/>
    </row>
    <row r="36" spans="1:8" x14ac:dyDescent="0.25">
      <c r="B36" s="47"/>
      <c r="C36" s="72" t="s">
        <v>44</v>
      </c>
      <c r="D36" s="86" t="s">
        <v>793</v>
      </c>
      <c r="E36" s="192"/>
      <c r="F36" s="195"/>
      <c r="G36" s="195"/>
      <c r="H36" s="198"/>
    </row>
    <row r="37" spans="1:8" ht="15.75" thickBot="1" x14ac:dyDescent="0.3">
      <c r="B37" s="48"/>
      <c r="C37" s="75" t="s">
        <v>45</v>
      </c>
      <c r="D37" s="88" t="s">
        <v>794</v>
      </c>
      <c r="E37" s="193"/>
      <c r="F37" s="195"/>
      <c r="G37" s="196"/>
      <c r="H37" s="214"/>
    </row>
    <row r="38" spans="1:8" x14ac:dyDescent="0.25">
      <c r="A38" s="139" t="s">
        <v>354</v>
      </c>
      <c r="B38" s="46">
        <v>8</v>
      </c>
      <c r="C38" s="79" t="s">
        <v>283</v>
      </c>
      <c r="D38" s="85"/>
      <c r="E38" s="191"/>
      <c r="F38" s="194" t="str">
        <f t="shared" ref="F38" si="6">IF(E38="","",IF(G38=E38,1,0))</f>
        <v/>
      </c>
      <c r="G38" s="194" t="s">
        <v>45</v>
      </c>
      <c r="H38" s="197" t="str">
        <f>IF(F38&lt;&gt;1,"Incorrect:  You should always survey and testing the area you wish to drill with an approved metal detector and then discuss this location with the customer for approval, drill from the inside out at an angle "&amp;"of between 90⁰ and 100⁰ (Downward angle) with an 8mm drill bit.  After feeding and securing the dropwire you would then seal the hole from the outside with silcone",IF(F38=1,"Correct",""))</f>
        <v>Incorrect:  You should always survey and testing the area you wish to drill with an approved metal detector and then discuss this location with the customer for approval, drill from the inside out at an angle of between 90⁰ and 100⁰ (Downward angle) with an 8mm drill bit.  After feeding and securing the dropwire you would then seal the hole from the outside with silcone</v>
      </c>
    </row>
    <row r="39" spans="1:8" ht="20.100000000000001" customHeight="1" x14ac:dyDescent="0.25">
      <c r="B39" s="47"/>
      <c r="C39" s="72" t="s">
        <v>43</v>
      </c>
      <c r="D39" s="69" t="s">
        <v>286</v>
      </c>
      <c r="E39" s="192"/>
      <c r="F39" s="195"/>
      <c r="G39" s="195"/>
      <c r="H39" s="198"/>
    </row>
    <row r="40" spans="1:8" ht="39.950000000000003" customHeight="1" x14ac:dyDescent="0.25">
      <c r="B40" s="47"/>
      <c r="C40" s="72" t="s">
        <v>44</v>
      </c>
      <c r="D40" s="70" t="s">
        <v>285</v>
      </c>
      <c r="E40" s="192"/>
      <c r="F40" s="195"/>
      <c r="G40" s="195"/>
      <c r="H40" s="198"/>
    </row>
    <row r="41" spans="1:8" s="92" customFormat="1" ht="35.1" customHeight="1" thickBot="1" x14ac:dyDescent="0.3">
      <c r="A41" s="139"/>
      <c r="B41" s="64"/>
      <c r="C41" s="73" t="s">
        <v>45</v>
      </c>
      <c r="D41" s="71" t="s">
        <v>284</v>
      </c>
      <c r="E41" s="193"/>
      <c r="F41" s="195"/>
      <c r="G41" s="196"/>
      <c r="H41" s="214"/>
    </row>
    <row r="42" spans="1:8" x14ac:dyDescent="0.25">
      <c r="A42" s="139" t="s">
        <v>354</v>
      </c>
      <c r="B42" s="46">
        <v>9</v>
      </c>
      <c r="C42" s="79" t="s">
        <v>287</v>
      </c>
      <c r="D42" s="85"/>
      <c r="E42" s="191"/>
      <c r="F42" s="194" t="str">
        <f t="shared" ref="F42" si="7">IF(E42="","",IF(G42=E42,1,0))</f>
        <v/>
      </c>
      <c r="G42" s="194" t="s">
        <v>43</v>
      </c>
      <c r="H42" s="197" t="str">
        <f>IF(F42&lt;&gt;1,"Incorrect:  You must always use a new clamp, never re-use an old clamp.  Always wrap the clamp around the drop-wire, not the drop-wire around the clamp or you risk damaging the cable.",IF(F42=1,"Correct",""))</f>
        <v>Incorrect:  You must always use a new clamp, never re-use an old clamp.  Always wrap the clamp around the drop-wire, not the drop-wire around the clamp or you risk damaging the cable.</v>
      </c>
    </row>
    <row r="43" spans="1:8" x14ac:dyDescent="0.25">
      <c r="B43" s="47"/>
      <c r="C43" s="72" t="s">
        <v>43</v>
      </c>
      <c r="D43" s="69" t="s">
        <v>288</v>
      </c>
      <c r="E43" s="192"/>
      <c r="F43" s="195"/>
      <c r="G43" s="195"/>
      <c r="H43" s="198"/>
    </row>
    <row r="44" spans="1:8" x14ac:dyDescent="0.25">
      <c r="B44" s="47"/>
      <c r="C44" s="72" t="s">
        <v>44</v>
      </c>
      <c r="D44" s="86" t="s">
        <v>289</v>
      </c>
      <c r="E44" s="192"/>
      <c r="F44" s="195"/>
      <c r="G44" s="195"/>
      <c r="H44" s="198"/>
    </row>
    <row r="45" spans="1:8" ht="15.75" thickBot="1" x14ac:dyDescent="0.3">
      <c r="B45" s="48"/>
      <c r="C45" s="75" t="s">
        <v>45</v>
      </c>
      <c r="D45" s="88" t="s">
        <v>290</v>
      </c>
      <c r="E45" s="193"/>
      <c r="F45" s="195"/>
      <c r="G45" s="196"/>
      <c r="H45" s="214"/>
    </row>
    <row r="46" spans="1:8" x14ac:dyDescent="0.25">
      <c r="A46" s="139" t="s">
        <v>354</v>
      </c>
      <c r="B46" s="46">
        <v>10</v>
      </c>
      <c r="C46" s="79" t="s">
        <v>272</v>
      </c>
      <c r="D46" s="85"/>
      <c r="E46" s="191"/>
      <c r="F46" s="194" t="str">
        <f t="shared" ref="F46" si="8">IF(E46="","",IF(G46=E46,1,0))</f>
        <v/>
      </c>
      <c r="G46" s="194" t="s">
        <v>44</v>
      </c>
      <c r="H46" s="197" t="str">
        <f>IF(F46&lt;&gt;1,"Incorrect:  A correct and accurate point of intervention must always be recorded so that we can accuretaly plan future investment in the network to aid improving the quality of our line plant.",IF(F46=1,"Correct",""))</f>
        <v>Incorrect:  A correct and accurate point of intervention must always be recorded so that we can accuretaly plan future investment in the network to aid improving the quality of our line plant.</v>
      </c>
    </row>
    <row r="47" spans="1:8" x14ac:dyDescent="0.25">
      <c r="B47" s="47"/>
      <c r="C47" s="72" t="s">
        <v>43</v>
      </c>
      <c r="D47" s="69" t="s">
        <v>273</v>
      </c>
      <c r="E47" s="192"/>
      <c r="F47" s="195"/>
      <c r="G47" s="195"/>
      <c r="H47" s="198"/>
    </row>
    <row r="48" spans="1:8" x14ac:dyDescent="0.25">
      <c r="B48" s="47"/>
      <c r="C48" s="72" t="s">
        <v>44</v>
      </c>
      <c r="D48" s="86" t="s">
        <v>274</v>
      </c>
      <c r="E48" s="192"/>
      <c r="F48" s="195"/>
      <c r="G48" s="195"/>
      <c r="H48" s="198"/>
    </row>
    <row r="49" spans="1:8" ht="15.75" thickBot="1" x14ac:dyDescent="0.3">
      <c r="B49" s="48"/>
      <c r="C49" s="75" t="s">
        <v>45</v>
      </c>
      <c r="D49" s="88" t="s">
        <v>275</v>
      </c>
      <c r="E49" s="193"/>
      <c r="F49" s="195"/>
      <c r="G49" s="196"/>
      <c r="H49" s="198"/>
    </row>
    <row r="50" spans="1:8" ht="27.95" customHeight="1" x14ac:dyDescent="0.25">
      <c r="A50" s="139" t="s">
        <v>354</v>
      </c>
      <c r="B50" s="46">
        <v>11</v>
      </c>
      <c r="C50" s="200" t="s">
        <v>356</v>
      </c>
      <c r="D50" s="201"/>
      <c r="E50" s="191"/>
      <c r="F50" s="194" t="str">
        <f t="shared" ref="F50" si="9">IF(E50="","",IF(G50=E50,1,0))</f>
        <v/>
      </c>
      <c r="G50" s="194" t="s">
        <v>45</v>
      </c>
      <c r="H50" s="197" t="str">
        <f>IF(F50&lt;&gt;1,"Incorrect:  You should renew the Dropwire to a BT85 within 2 metres of the point of entry, and rewire it with an internal wire to the NTE then reconnect to fault free extension wiring.",IF(F50=1,"Correct",""))</f>
        <v>Incorrect:  You should renew the Dropwire to a BT85 within 2 metres of the point of entry, and rewire it with an internal wire to the NTE then reconnect to fault free extension wiring.</v>
      </c>
    </row>
    <row r="51" spans="1:8" ht="20.100000000000001" customHeight="1" x14ac:dyDescent="0.25">
      <c r="B51" s="47"/>
      <c r="C51" s="72" t="s">
        <v>43</v>
      </c>
      <c r="D51" s="69" t="s">
        <v>357</v>
      </c>
      <c r="E51" s="192"/>
      <c r="F51" s="195"/>
      <c r="G51" s="195"/>
      <c r="H51" s="198"/>
    </row>
    <row r="52" spans="1:8" ht="30" customHeight="1" x14ac:dyDescent="0.25">
      <c r="B52" s="47"/>
      <c r="C52" s="72" t="s">
        <v>44</v>
      </c>
      <c r="D52" s="93" t="s">
        <v>358</v>
      </c>
      <c r="E52" s="192"/>
      <c r="F52" s="195"/>
      <c r="G52" s="195"/>
      <c r="H52" s="198"/>
    </row>
    <row r="53" spans="1:8" ht="30" customHeight="1" thickBot="1" x14ac:dyDescent="0.3">
      <c r="B53" s="48"/>
      <c r="C53" s="75" t="s">
        <v>45</v>
      </c>
      <c r="D53" s="103" t="s">
        <v>791</v>
      </c>
      <c r="E53" s="193"/>
      <c r="F53" s="195"/>
      <c r="G53" s="196"/>
      <c r="H53" s="198"/>
    </row>
    <row r="54" spans="1:8" ht="27.95" customHeight="1" x14ac:dyDescent="0.25">
      <c r="A54" s="139" t="s">
        <v>354</v>
      </c>
      <c r="B54" s="46">
        <v>12</v>
      </c>
      <c r="C54" s="200" t="s">
        <v>359</v>
      </c>
      <c r="D54" s="201"/>
      <c r="E54" s="191"/>
      <c r="F54" s="194" t="str">
        <f t="shared" ref="F54" si="10">IF(E54="","",IF(G54=E54,1,0))</f>
        <v/>
      </c>
      <c r="G54" s="194" t="s">
        <v>45</v>
      </c>
      <c r="H54" s="197" t="str">
        <f>IF(F54&lt;&gt;1,"Incorrect:  You should renew the jumper wire, repair any damaged insulation and replace the blue bean connectors on both bunches you are working on using Non break crimps (11a).",IF(F54=1,"Correct",""))</f>
        <v>Incorrect:  You should renew the jumper wire, repair any damaged insulation and replace the blue bean connectors on both bunches you are working on using Non break crimps (11a).</v>
      </c>
    </row>
    <row r="55" spans="1:8" ht="15" customHeight="1" x14ac:dyDescent="0.25">
      <c r="B55" s="47"/>
      <c r="C55" s="72" t="s">
        <v>43</v>
      </c>
      <c r="D55" s="69" t="s">
        <v>360</v>
      </c>
      <c r="E55" s="192"/>
      <c r="F55" s="195"/>
      <c r="G55" s="195"/>
      <c r="H55" s="198"/>
    </row>
    <row r="56" spans="1:8" ht="18" customHeight="1" x14ac:dyDescent="0.25">
      <c r="B56" s="47"/>
      <c r="C56" s="72" t="s">
        <v>44</v>
      </c>
      <c r="D56" s="86" t="s">
        <v>361</v>
      </c>
      <c r="E56" s="192"/>
      <c r="F56" s="195"/>
      <c r="G56" s="195"/>
      <c r="H56" s="198"/>
    </row>
    <row r="57" spans="1:8" ht="27.95" customHeight="1" thickBot="1" x14ac:dyDescent="0.3">
      <c r="B57" s="48"/>
      <c r="C57" s="75" t="s">
        <v>45</v>
      </c>
      <c r="D57" s="71" t="s">
        <v>362</v>
      </c>
      <c r="E57" s="193"/>
      <c r="F57" s="195"/>
      <c r="G57" s="196"/>
      <c r="H57" s="198"/>
    </row>
    <row r="58" spans="1:8" ht="27.95" customHeight="1" x14ac:dyDescent="0.25">
      <c r="A58" s="139" t="s">
        <v>354</v>
      </c>
      <c r="B58" s="46">
        <v>13</v>
      </c>
      <c r="C58" s="200" t="s">
        <v>751</v>
      </c>
      <c r="D58" s="201"/>
      <c r="E58" s="191"/>
      <c r="F58" s="194" t="str">
        <f t="shared" ref="F58" si="11">IF(E58="","",IF(G58=E58,1,0))</f>
        <v/>
      </c>
      <c r="G58" s="194" t="s">
        <v>44</v>
      </c>
      <c r="H58" s="197" t="str">
        <f>IF(F58&lt;&gt;1,"Incorrect:  You should never give out any customers information, instead you should refer them back to the communications provider.",IF(F58=1,"Correct",""))</f>
        <v>Incorrect:  You should never give out any customers information, instead you should refer them back to the communications provider.</v>
      </c>
    </row>
    <row r="59" spans="1:8" x14ac:dyDescent="0.25">
      <c r="B59" s="47"/>
      <c r="C59" s="72" t="s">
        <v>43</v>
      </c>
      <c r="D59" s="69" t="s">
        <v>381</v>
      </c>
      <c r="E59" s="192"/>
      <c r="F59" s="195"/>
      <c r="G59" s="195"/>
      <c r="H59" s="198"/>
    </row>
    <row r="60" spans="1:8" x14ac:dyDescent="0.25">
      <c r="B60" s="47"/>
      <c r="C60" s="72" t="s">
        <v>44</v>
      </c>
      <c r="D60" s="86" t="s">
        <v>382</v>
      </c>
      <c r="E60" s="192"/>
      <c r="F60" s="195"/>
      <c r="G60" s="195"/>
      <c r="H60" s="198"/>
    </row>
    <row r="61" spans="1:8" ht="15.75" thickBot="1" x14ac:dyDescent="0.3">
      <c r="B61" s="48"/>
      <c r="C61" s="75" t="s">
        <v>45</v>
      </c>
      <c r="D61" s="88" t="s">
        <v>383</v>
      </c>
      <c r="E61" s="193"/>
      <c r="F61" s="195"/>
      <c r="G61" s="196"/>
      <c r="H61" s="198"/>
    </row>
    <row r="62" spans="1:8" ht="15" customHeight="1" x14ac:dyDescent="0.25">
      <c r="A62" s="139" t="s">
        <v>354</v>
      </c>
      <c r="B62" s="46">
        <v>14</v>
      </c>
      <c r="C62" s="200" t="s">
        <v>363</v>
      </c>
      <c r="D62" s="201"/>
      <c r="E62" s="191"/>
      <c r="F62" s="194" t="str">
        <f t="shared" ref="F62" si="12">IF(E62="","",IF(G62=E62,1,0))</f>
        <v/>
      </c>
      <c r="G62" s="194" t="s">
        <v>43</v>
      </c>
      <c r="H62" s="197" t="str">
        <f>IF(F62&lt;&gt;1,"Incorrect:  You should replace the faulty block with a new block reterminating all the pairs in your block as they should be.",IF(F62=1,"Correct",""))</f>
        <v>Incorrect:  You should replace the faulty block with a new block reterminating all the pairs in your block as they should be.</v>
      </c>
    </row>
    <row r="63" spans="1:8" x14ac:dyDescent="0.25">
      <c r="B63" s="47"/>
      <c r="C63" s="72" t="s">
        <v>43</v>
      </c>
      <c r="D63" s="69" t="s">
        <v>364</v>
      </c>
      <c r="E63" s="192"/>
      <c r="F63" s="195"/>
      <c r="G63" s="195"/>
      <c r="H63" s="198"/>
    </row>
    <row r="64" spans="1:8" x14ac:dyDescent="0.25">
      <c r="B64" s="47"/>
      <c r="C64" s="72" t="s">
        <v>44</v>
      </c>
      <c r="D64" s="86" t="s">
        <v>365</v>
      </c>
      <c r="E64" s="192"/>
      <c r="F64" s="195"/>
      <c r="G64" s="195"/>
      <c r="H64" s="198"/>
    </row>
    <row r="65" spans="1:8" ht="15.75" thickBot="1" x14ac:dyDescent="0.3">
      <c r="B65" s="48"/>
      <c r="C65" s="75" t="s">
        <v>45</v>
      </c>
      <c r="D65" s="88" t="s">
        <v>366</v>
      </c>
      <c r="E65" s="193"/>
      <c r="F65" s="195"/>
      <c r="G65" s="196"/>
      <c r="H65" s="198"/>
    </row>
    <row r="66" spans="1:8" ht="27.95" customHeight="1" x14ac:dyDescent="0.25">
      <c r="A66" s="139" t="s">
        <v>354</v>
      </c>
      <c r="B66" s="46">
        <v>15</v>
      </c>
      <c r="C66" s="200" t="s">
        <v>353</v>
      </c>
      <c r="D66" s="201"/>
      <c r="E66" s="191"/>
      <c r="F66" s="194" t="str">
        <f t="shared" ref="F66" si="13">IF(E66="","",IF(G66=E66,1,0))</f>
        <v/>
      </c>
      <c r="G66" s="194" t="s">
        <v>45</v>
      </c>
      <c r="H66" s="197" t="str">
        <f>IF(F66&lt;&gt;1,"Incorrect:  You should never give any advice to a customer on service prodived by any providers, instead ask them to contact the providers themselves or make up there own minds.",IF(F66=1,"Correct",""))</f>
        <v>Incorrect:  You should never give any advice to a customer on service prodived by any providers, instead ask them to contact the providers themselves or make up there own minds.</v>
      </c>
    </row>
    <row r="67" spans="1:8" x14ac:dyDescent="0.25">
      <c r="B67" s="47"/>
      <c r="C67" s="72" t="s">
        <v>43</v>
      </c>
      <c r="D67" s="86" t="s">
        <v>276</v>
      </c>
      <c r="E67" s="192"/>
      <c r="F67" s="195"/>
      <c r="G67" s="195"/>
      <c r="H67" s="198"/>
    </row>
    <row r="68" spans="1:8" x14ac:dyDescent="0.25">
      <c r="B68" s="47"/>
      <c r="C68" s="72" t="s">
        <v>44</v>
      </c>
      <c r="D68" s="91" t="s">
        <v>277</v>
      </c>
      <c r="E68" s="192"/>
      <c r="F68" s="195"/>
      <c r="G68" s="195"/>
      <c r="H68" s="198"/>
    </row>
    <row r="69" spans="1:8" ht="15.75" thickBot="1" x14ac:dyDescent="0.3">
      <c r="B69" s="48"/>
      <c r="C69" s="75" t="s">
        <v>45</v>
      </c>
      <c r="D69" s="88" t="s">
        <v>278</v>
      </c>
      <c r="E69" s="193"/>
      <c r="F69" s="195"/>
      <c r="G69" s="196"/>
      <c r="H69" s="214"/>
    </row>
    <row r="70" spans="1:8" x14ac:dyDescent="0.25">
      <c r="A70" s="139" t="s">
        <v>354</v>
      </c>
      <c r="B70" s="46">
        <v>16</v>
      </c>
      <c r="C70" s="79" t="s">
        <v>394</v>
      </c>
      <c r="D70" s="85"/>
      <c r="E70" s="191"/>
      <c r="F70" s="194" t="str">
        <f t="shared" ref="F70" si="14">IF(E70="","",IF(G70=E70,1,0))</f>
        <v/>
      </c>
      <c r="G70" s="194" t="s">
        <v>45</v>
      </c>
      <c r="H70" s="197" t="str">
        <f>IF(F70&lt;&gt;1,"Incorrect:  You should use the A1024 app as a preference, quickest and easiest method, failing that use the A1024 site from informe or contact the A1024 duty on the phone.",IF(F70=1,"Correct",""))</f>
        <v>Incorrect:  You should use the A1024 app as a preference, quickest and easiest method, failing that use the A1024 site from informe or contact the A1024 duty on the phone.</v>
      </c>
    </row>
    <row r="71" spans="1:8" x14ac:dyDescent="0.25">
      <c r="B71" s="47"/>
      <c r="C71" s="72" t="s">
        <v>43</v>
      </c>
      <c r="D71" s="69" t="s">
        <v>395</v>
      </c>
      <c r="E71" s="192"/>
      <c r="F71" s="195"/>
      <c r="G71" s="195"/>
      <c r="H71" s="198"/>
    </row>
    <row r="72" spans="1:8" x14ac:dyDescent="0.25">
      <c r="B72" s="47"/>
      <c r="C72" s="72" t="s">
        <v>44</v>
      </c>
      <c r="D72" s="69" t="s">
        <v>396</v>
      </c>
      <c r="E72" s="192"/>
      <c r="F72" s="195"/>
      <c r="G72" s="195"/>
      <c r="H72" s="198"/>
    </row>
    <row r="73" spans="1:8" x14ac:dyDescent="0.25">
      <c r="B73" s="47"/>
      <c r="C73" s="72" t="s">
        <v>45</v>
      </c>
      <c r="D73" s="86" t="s">
        <v>397</v>
      </c>
      <c r="E73" s="192"/>
      <c r="F73" s="195"/>
      <c r="G73" s="195"/>
      <c r="H73" s="198"/>
    </row>
    <row r="74" spans="1:8" ht="15.75" thickBot="1" x14ac:dyDescent="0.3">
      <c r="B74" s="48"/>
      <c r="C74" s="75" t="s">
        <v>226</v>
      </c>
      <c r="D74" s="88" t="s">
        <v>398</v>
      </c>
      <c r="E74" s="193"/>
      <c r="F74" s="195"/>
      <c r="G74" s="196"/>
      <c r="H74" s="198"/>
    </row>
    <row r="75" spans="1:8" ht="27.95" customHeight="1" x14ac:dyDescent="0.25">
      <c r="A75" s="139" t="s">
        <v>354</v>
      </c>
      <c r="B75" s="46">
        <v>17</v>
      </c>
      <c r="C75" s="200" t="s">
        <v>377</v>
      </c>
      <c r="D75" s="201"/>
      <c r="E75" s="191"/>
      <c r="F75" s="194" t="str">
        <f t="shared" ref="F75" si="15">IF(E75="","",IF(G75=E75,1,0))</f>
        <v/>
      </c>
      <c r="G75" s="194" t="s">
        <v>45</v>
      </c>
      <c r="H75" s="197" t="str">
        <f>IF(F75&lt;&gt;1,"Incorrect:  You should close the task as incomplete TCLW which will raise a PAT fault to allow network to be brought up to standard, include comprehensive notes and include correct clear code. In addition complete any documentation and an A1024.",IF(F75=1,"Correct",""))</f>
        <v>Incorrect:  You should close the task as incomplete TCLW which will raise a PAT fault to allow network to be brought up to standard, include comprehensive notes and include correct clear code. In addition complete any documentation and an A1024.</v>
      </c>
    </row>
    <row r="76" spans="1:8" x14ac:dyDescent="0.25">
      <c r="B76" s="47"/>
      <c r="C76" s="72" t="s">
        <v>43</v>
      </c>
      <c r="D76" s="69" t="s">
        <v>379</v>
      </c>
      <c r="E76" s="192"/>
      <c r="F76" s="195"/>
      <c r="G76" s="195"/>
      <c r="H76" s="198"/>
    </row>
    <row r="77" spans="1:8" ht="20.100000000000001" customHeight="1" x14ac:dyDescent="0.25">
      <c r="B77" s="47"/>
      <c r="C77" s="72" t="s">
        <v>44</v>
      </c>
      <c r="D77" s="86" t="s">
        <v>380</v>
      </c>
      <c r="E77" s="192"/>
      <c r="F77" s="195"/>
      <c r="G77" s="195"/>
      <c r="H77" s="198"/>
    </row>
    <row r="78" spans="1:8" ht="45.75" thickBot="1" x14ac:dyDescent="0.3">
      <c r="B78" s="48"/>
      <c r="C78" s="75" t="s">
        <v>45</v>
      </c>
      <c r="D78" s="103" t="s">
        <v>378</v>
      </c>
      <c r="E78" s="193"/>
      <c r="F78" s="195"/>
      <c r="G78" s="196"/>
      <c r="H78" s="198"/>
    </row>
    <row r="79" spans="1:8" ht="15" customHeight="1" x14ac:dyDescent="0.25">
      <c r="A79" s="139" t="s">
        <v>354</v>
      </c>
      <c r="B79" s="46">
        <v>18</v>
      </c>
      <c r="C79" s="200" t="s">
        <v>399</v>
      </c>
      <c r="D79" s="201"/>
      <c r="E79" s="191"/>
      <c r="F79" s="194" t="str">
        <f t="shared" ref="F79" si="16">IF(E79="","",IF(G79=E79,1,0))</f>
        <v/>
      </c>
      <c r="G79" s="194" t="s">
        <v>43</v>
      </c>
      <c r="H79" s="197" t="str">
        <f>IF(F79&lt;&gt;1,"Incorrect:  You should always where the customer is present demonstrate to the customer a good working line, "&amp;"explain the communications provider may run a test in the next 24 hours which could knock the line off for a few minutes and that it is normal.  Close task.",IF(F79=1,"Correct",""))</f>
        <v>Incorrect:  You should always where the customer is present demonstrate to the customer a good working line, explain the communications provider may run a test in the next 24 hours which could knock the line off for a few minutes and that it is normal.  Close task.</v>
      </c>
    </row>
    <row r="80" spans="1:8" ht="30" customHeight="1" x14ac:dyDescent="0.25">
      <c r="B80" s="47"/>
      <c r="C80" s="72" t="s">
        <v>43</v>
      </c>
      <c r="D80" s="95" t="s">
        <v>401</v>
      </c>
      <c r="E80" s="192"/>
      <c r="F80" s="195"/>
      <c r="G80" s="195"/>
      <c r="H80" s="198"/>
    </row>
    <row r="81" spans="1:8" x14ac:dyDescent="0.25">
      <c r="B81" s="47"/>
      <c r="C81" s="72" t="s">
        <v>44</v>
      </c>
      <c r="D81" s="86" t="s">
        <v>400</v>
      </c>
      <c r="E81" s="192"/>
      <c r="F81" s="195"/>
      <c r="G81" s="195"/>
      <c r="H81" s="198"/>
    </row>
    <row r="82" spans="1:8" ht="15.75" thickBot="1" x14ac:dyDescent="0.3">
      <c r="B82" s="48"/>
      <c r="C82" s="75" t="s">
        <v>45</v>
      </c>
      <c r="D82" s="88" t="s">
        <v>752</v>
      </c>
      <c r="E82" s="193"/>
      <c r="F82" s="195"/>
      <c r="G82" s="196"/>
      <c r="H82" s="198"/>
    </row>
    <row r="83" spans="1:8" x14ac:dyDescent="0.25">
      <c r="A83" s="139" t="s">
        <v>354</v>
      </c>
      <c r="B83" s="46">
        <v>19</v>
      </c>
      <c r="C83" s="79" t="s">
        <v>426</v>
      </c>
      <c r="D83" s="85"/>
      <c r="E83" s="191"/>
      <c r="F83" s="194" t="str">
        <f t="shared" ref="F83" si="17">IF(E83="","",IF(G83=E83,1,0))</f>
        <v/>
      </c>
      <c r="G83" s="194" t="s">
        <v>43</v>
      </c>
      <c r="H83" s="197" t="str">
        <f>IF(F83&lt;&gt;1,"Incorrect:  As per 'Com as you go' you should always close the task of from your final work location, you shouldn’t return to the exchange or drive round the corner.",IF(F83=1,"Correct",""))</f>
        <v>Incorrect:  As per 'Com as you go' you should always close the task of from your final work location, you shouldn’t return to the exchange or drive round the corner.</v>
      </c>
    </row>
    <row r="84" spans="1:8" x14ac:dyDescent="0.25">
      <c r="B84" s="47"/>
      <c r="C84" s="72" t="s">
        <v>43</v>
      </c>
      <c r="D84" s="69" t="s">
        <v>427</v>
      </c>
      <c r="E84" s="192"/>
      <c r="F84" s="195"/>
      <c r="G84" s="195"/>
      <c r="H84" s="198"/>
    </row>
    <row r="85" spans="1:8" x14ac:dyDescent="0.25">
      <c r="B85" s="47"/>
      <c r="C85" s="72" t="s">
        <v>44</v>
      </c>
      <c r="D85" s="86" t="s">
        <v>428</v>
      </c>
      <c r="E85" s="192"/>
      <c r="F85" s="195"/>
      <c r="G85" s="195"/>
      <c r="H85" s="198"/>
    </row>
    <row r="86" spans="1:8" ht="15.75" thickBot="1" x14ac:dyDescent="0.3">
      <c r="B86" s="48"/>
      <c r="C86" s="75" t="s">
        <v>45</v>
      </c>
      <c r="D86" s="88" t="s">
        <v>429</v>
      </c>
      <c r="E86" s="193"/>
      <c r="F86" s="196"/>
      <c r="G86" s="196"/>
      <c r="H86" s="214"/>
    </row>
    <row r="87" spans="1:8" ht="27.95" customHeight="1" x14ac:dyDescent="0.25">
      <c r="A87" s="139" t="s">
        <v>355</v>
      </c>
      <c r="B87" s="46">
        <v>20</v>
      </c>
      <c r="C87" s="200" t="s">
        <v>392</v>
      </c>
      <c r="D87" s="201"/>
      <c r="E87" s="191"/>
      <c r="F87" s="194" t="str">
        <f t="shared" ref="F87" si="18">IF(E87="","",IF(G87=E87,1,0))</f>
        <v/>
      </c>
      <c r="G87" s="194" t="s">
        <v>43</v>
      </c>
      <c r="H87" s="197" t="str">
        <f>IF(F87&lt;&gt;1,"Incorrect:  You cannot use an above ground closure to extend a dropwire into a BT or BC, the dropwire should be replaced.",IF(F87=1,"Correct",""))</f>
        <v>Incorrect:  You cannot use an above ground closure to extend a dropwire into a BT or BC, the dropwire should be replaced.</v>
      </c>
    </row>
    <row r="88" spans="1:8" x14ac:dyDescent="0.25">
      <c r="B88" s="47"/>
      <c r="C88" s="72" t="s">
        <v>43</v>
      </c>
      <c r="D88" s="69" t="s">
        <v>59</v>
      </c>
      <c r="E88" s="192"/>
      <c r="F88" s="195"/>
      <c r="G88" s="195"/>
      <c r="H88" s="198"/>
    </row>
    <row r="89" spans="1:8" x14ac:dyDescent="0.25">
      <c r="B89" s="47"/>
      <c r="C89" s="72" t="s">
        <v>44</v>
      </c>
      <c r="D89" s="86" t="s">
        <v>58</v>
      </c>
      <c r="E89" s="192"/>
      <c r="F89" s="195"/>
      <c r="G89" s="195"/>
      <c r="H89" s="198"/>
    </row>
    <row r="90" spans="1:8" ht="15.75" thickBot="1" x14ac:dyDescent="0.3">
      <c r="B90" s="48"/>
      <c r="C90" s="75" t="s">
        <v>45</v>
      </c>
      <c r="D90" s="88" t="s">
        <v>393</v>
      </c>
      <c r="E90" s="193"/>
      <c r="F90" s="195"/>
      <c r="G90" s="196"/>
      <c r="H90" s="198"/>
    </row>
    <row r="91" spans="1:8" x14ac:dyDescent="0.25">
      <c r="A91" s="139" t="s">
        <v>355</v>
      </c>
      <c r="B91" s="46">
        <v>21</v>
      </c>
      <c r="C91" s="79" t="s">
        <v>373</v>
      </c>
      <c r="D91" s="85"/>
      <c r="E91" s="191"/>
      <c r="F91" s="194" t="str">
        <f t="shared" ref="F91" si="19">IF(E91="","",IF(G91=E91,1,0))</f>
        <v/>
      </c>
      <c r="G91" s="194" t="s">
        <v>43</v>
      </c>
      <c r="H91" s="197" t="str">
        <f>IF(F91&lt;&gt;1,"Incorrect:  You should now always replace the old connectors with new IDC mountings and IDC inserts in packs of 2 pairs or 3 pairs to bring up to the new quality standards.",IF(F91=1,"Correct",""))</f>
        <v>Incorrect:  You should now always replace the old connectors with new IDC mountings and IDC inserts in packs of 2 pairs or 3 pairs to bring up to the new quality standards.</v>
      </c>
    </row>
    <row r="92" spans="1:8" x14ac:dyDescent="0.25">
      <c r="B92" s="47"/>
      <c r="C92" s="72" t="s">
        <v>43</v>
      </c>
      <c r="D92" s="69" t="s">
        <v>374</v>
      </c>
      <c r="E92" s="192"/>
      <c r="F92" s="195"/>
      <c r="G92" s="195"/>
      <c r="H92" s="198"/>
    </row>
    <row r="93" spans="1:8" x14ac:dyDescent="0.25">
      <c r="B93" s="47"/>
      <c r="C93" s="72" t="s">
        <v>44</v>
      </c>
      <c r="D93" s="86" t="s">
        <v>375</v>
      </c>
      <c r="E93" s="192"/>
      <c r="F93" s="195"/>
      <c r="G93" s="195"/>
      <c r="H93" s="198"/>
    </row>
    <row r="94" spans="1:8" ht="15.75" thickBot="1" x14ac:dyDescent="0.3">
      <c r="B94" s="48"/>
      <c r="C94" s="75" t="s">
        <v>45</v>
      </c>
      <c r="D94" s="88" t="s">
        <v>376</v>
      </c>
      <c r="E94" s="193"/>
      <c r="F94" s="195"/>
      <c r="G94" s="196"/>
      <c r="H94" s="198"/>
    </row>
    <row r="95" spans="1:8" ht="27.95" customHeight="1" x14ac:dyDescent="0.25">
      <c r="A95" s="139" t="s">
        <v>355</v>
      </c>
      <c r="B95" s="46">
        <v>22</v>
      </c>
      <c r="C95" s="200" t="s">
        <v>370</v>
      </c>
      <c r="D95" s="201"/>
      <c r="E95" s="191"/>
      <c r="F95" s="194" t="str">
        <f t="shared" ref="F95" si="20">IF(E95="","",IF(G95=E95,1,0))</f>
        <v/>
      </c>
      <c r="G95" s="194" t="s">
        <v>44</v>
      </c>
      <c r="H95" s="197" t="str">
        <f>IF(F95&lt;&gt;1,"Incorrect:  You should only fit one above ground closeure, at the customers fixing.",IF(F95=1,"Correct",""))</f>
        <v>Incorrect:  You should only fit one above ground closeure, at the customers fixing.</v>
      </c>
    </row>
    <row r="96" spans="1:8" x14ac:dyDescent="0.25">
      <c r="B96" s="47"/>
      <c r="C96" s="72" t="s">
        <v>43</v>
      </c>
      <c r="D96" s="69" t="s">
        <v>753</v>
      </c>
      <c r="E96" s="192"/>
      <c r="F96" s="195"/>
      <c r="G96" s="195"/>
      <c r="H96" s="198"/>
    </row>
    <row r="97" spans="1:8" x14ac:dyDescent="0.25">
      <c r="B97" s="47"/>
      <c r="C97" s="72" t="s">
        <v>44</v>
      </c>
      <c r="D97" s="86" t="s">
        <v>371</v>
      </c>
      <c r="E97" s="192"/>
      <c r="F97" s="195"/>
      <c r="G97" s="195"/>
      <c r="H97" s="198"/>
    </row>
    <row r="98" spans="1:8" ht="15.75" thickBot="1" x14ac:dyDescent="0.3">
      <c r="B98" s="48"/>
      <c r="C98" s="75" t="s">
        <v>45</v>
      </c>
      <c r="D98" s="88" t="s">
        <v>372</v>
      </c>
      <c r="E98" s="193"/>
      <c r="F98" s="195"/>
      <c r="G98" s="196"/>
      <c r="H98" s="198"/>
    </row>
    <row r="99" spans="1:8" ht="15" customHeight="1" x14ac:dyDescent="0.25">
      <c r="A99" s="139" t="s">
        <v>355</v>
      </c>
      <c r="B99" s="46">
        <v>23</v>
      </c>
      <c r="C99" s="79" t="s">
        <v>384</v>
      </c>
      <c r="D99" s="85"/>
      <c r="E99" s="191"/>
      <c r="F99" s="194" t="str">
        <f t="shared" ref="F99" si="21">IF(E99="","",IF(G99=E99,1,0))</f>
        <v/>
      </c>
      <c r="G99" s="194" t="s">
        <v>44</v>
      </c>
      <c r="H99" s="197" t="str">
        <f>IF(F99&lt;&gt;1,"Incorrect:  You must clear up all the scrap wiring inside and out leaving the areas tidy.",IF(F99=1,"Correct",""))</f>
        <v>Incorrect:  You must clear up all the scrap wiring inside and out leaving the areas tidy.</v>
      </c>
    </row>
    <row r="100" spans="1:8" x14ac:dyDescent="0.25">
      <c r="B100" s="47"/>
      <c r="C100" s="72" t="s">
        <v>43</v>
      </c>
      <c r="D100" s="69" t="s">
        <v>369</v>
      </c>
      <c r="E100" s="192"/>
      <c r="F100" s="195"/>
      <c r="G100" s="195"/>
      <c r="H100" s="198"/>
    </row>
    <row r="101" spans="1:8" x14ac:dyDescent="0.25">
      <c r="B101" s="47"/>
      <c r="C101" s="72" t="s">
        <v>44</v>
      </c>
      <c r="D101" s="86" t="s">
        <v>368</v>
      </c>
      <c r="E101" s="192"/>
      <c r="F101" s="195"/>
      <c r="G101" s="195"/>
      <c r="H101" s="198"/>
    </row>
    <row r="102" spans="1:8" ht="15.75" thickBot="1" x14ac:dyDescent="0.3">
      <c r="B102" s="48"/>
      <c r="C102" s="75" t="s">
        <v>45</v>
      </c>
      <c r="D102" s="88" t="s">
        <v>367</v>
      </c>
      <c r="E102" s="193"/>
      <c r="F102" s="196"/>
      <c r="G102" s="196"/>
      <c r="H102" s="214"/>
    </row>
    <row r="103" spans="1:8" ht="27.95" customHeight="1" x14ac:dyDescent="0.25">
      <c r="A103" s="139" t="s">
        <v>355</v>
      </c>
      <c r="B103" s="46">
        <v>24</v>
      </c>
      <c r="C103" s="200" t="s">
        <v>754</v>
      </c>
      <c r="D103" s="201"/>
      <c r="E103" s="191"/>
      <c r="F103" s="194" t="str">
        <f t="shared" ref="F103" si="22">IF(E103="","",IF(G103=E103,1,0))</f>
        <v/>
      </c>
      <c r="G103" s="194" t="s">
        <v>238</v>
      </c>
      <c r="H103" s="197" t="str">
        <f>IF(F103&lt;&gt;1,"Incorrect:  You should be checking the lid on the DP, looking for open joints on the dropwire, checking the type of dropwire and the height of the span.",IF(F103=1,"Correct",""))</f>
        <v>Incorrect:  You should be checking the lid on the DP, looking for open joints on the dropwire, checking the type of dropwire and the height of the span.</v>
      </c>
    </row>
    <row r="104" spans="1:8" ht="15" customHeight="1" x14ac:dyDescent="0.25">
      <c r="B104" s="47"/>
      <c r="C104" s="72" t="s">
        <v>43</v>
      </c>
      <c r="D104" s="95" t="s">
        <v>436</v>
      </c>
      <c r="E104" s="192"/>
      <c r="F104" s="195"/>
      <c r="G104" s="195"/>
      <c r="H104" s="198"/>
    </row>
    <row r="105" spans="1:8" ht="15" customHeight="1" x14ac:dyDescent="0.25">
      <c r="B105" s="47"/>
      <c r="C105" s="72" t="s">
        <v>44</v>
      </c>
      <c r="D105" s="95" t="s">
        <v>437</v>
      </c>
      <c r="E105" s="192"/>
      <c r="F105" s="195"/>
      <c r="G105" s="195"/>
      <c r="H105" s="198"/>
    </row>
    <row r="106" spans="1:8" ht="15" customHeight="1" x14ac:dyDescent="0.25">
      <c r="B106" s="47"/>
      <c r="C106" s="72" t="s">
        <v>45</v>
      </c>
      <c r="D106" s="86" t="s">
        <v>438</v>
      </c>
      <c r="E106" s="192"/>
      <c r="F106" s="195"/>
      <c r="G106" s="195"/>
      <c r="H106" s="198"/>
    </row>
    <row r="107" spans="1:8" ht="15" customHeight="1" x14ac:dyDescent="0.25">
      <c r="B107" s="47"/>
      <c r="C107" s="72" t="s">
        <v>226</v>
      </c>
      <c r="D107" s="86" t="s">
        <v>439</v>
      </c>
      <c r="E107" s="192"/>
      <c r="F107" s="195"/>
      <c r="G107" s="195"/>
      <c r="H107" s="198"/>
    </row>
    <row r="108" spans="1:8" ht="15" customHeight="1" thickBot="1" x14ac:dyDescent="0.3">
      <c r="B108" s="48"/>
      <c r="C108" s="75" t="s">
        <v>238</v>
      </c>
      <c r="D108" s="88" t="s">
        <v>47</v>
      </c>
      <c r="E108" s="193"/>
      <c r="F108" s="196"/>
      <c r="G108" s="196"/>
      <c r="H108" s="198"/>
    </row>
    <row r="109" spans="1:8" ht="27.95" customHeight="1" x14ac:dyDescent="0.25">
      <c r="A109" s="139" t="s">
        <v>355</v>
      </c>
      <c r="B109" s="46">
        <v>25</v>
      </c>
      <c r="C109" s="200" t="s">
        <v>755</v>
      </c>
      <c r="D109" s="201"/>
      <c r="E109" s="191"/>
      <c r="F109" s="194" t="str">
        <f t="shared" ref="F109" si="23">IF(E109="","",IF(G109=E109,1,0))</f>
        <v/>
      </c>
      <c r="G109" s="194" t="s">
        <v>44</v>
      </c>
      <c r="H109" s="197" t="str">
        <f>IF(F109&lt;&gt;1,"Incorrect:  You should Replace all of the old obsolete dropwire to the NTE.",IF(F109=1,"Correct",""))</f>
        <v>Incorrect:  You should Replace all of the old obsolete dropwire to the NTE.</v>
      </c>
    </row>
    <row r="110" spans="1:8" x14ac:dyDescent="0.25">
      <c r="B110" s="47"/>
      <c r="C110" s="72" t="s">
        <v>43</v>
      </c>
      <c r="D110" s="95" t="s">
        <v>756</v>
      </c>
      <c r="E110" s="192"/>
      <c r="F110" s="195"/>
      <c r="G110" s="195"/>
      <c r="H110" s="198"/>
    </row>
    <row r="111" spans="1:8" x14ac:dyDescent="0.25">
      <c r="B111" s="47"/>
      <c r="C111" s="72" t="s">
        <v>44</v>
      </c>
      <c r="D111" s="93" t="s">
        <v>430</v>
      </c>
      <c r="E111" s="192"/>
      <c r="F111" s="195"/>
      <c r="G111" s="195"/>
      <c r="H111" s="198"/>
    </row>
    <row r="112" spans="1:8" ht="15.75" thickBot="1" x14ac:dyDescent="0.3">
      <c r="B112" s="48"/>
      <c r="C112" s="75" t="s">
        <v>45</v>
      </c>
      <c r="D112" s="88" t="s">
        <v>431</v>
      </c>
      <c r="E112" s="193"/>
      <c r="F112" s="195"/>
      <c r="G112" s="196"/>
      <c r="H112" s="198"/>
    </row>
    <row r="113" spans="1:8" ht="15" customHeight="1" x14ac:dyDescent="0.25">
      <c r="A113" s="139" t="s">
        <v>355</v>
      </c>
      <c r="B113" s="46">
        <f>B109+1</f>
        <v>26</v>
      </c>
      <c r="C113" s="200" t="s">
        <v>440</v>
      </c>
      <c r="D113" s="201"/>
      <c r="E113" s="191"/>
      <c r="F113" s="194" t="str">
        <f t="shared" ref="F113" si="24">IF(E113="","",IF(G113=E113,1,0))</f>
        <v/>
      </c>
      <c r="G113" s="194" t="s">
        <v>43</v>
      </c>
      <c r="H113" s="197" t="str">
        <f>IF(F113&lt;&gt;1,"Incorrect:  You should replace the lid with a new lid everytime to ensure its up to the correct quality standards.",IF(F113=1,"Correct",""))</f>
        <v>Incorrect:  You should replace the lid with a new lid everytime to ensure its up to the correct quality standards.</v>
      </c>
    </row>
    <row r="114" spans="1:8" ht="15" customHeight="1" x14ac:dyDescent="0.25">
      <c r="B114" s="47"/>
      <c r="C114" s="72" t="s">
        <v>43</v>
      </c>
      <c r="D114" s="95" t="s">
        <v>441</v>
      </c>
      <c r="E114" s="192"/>
      <c r="F114" s="195"/>
      <c r="G114" s="195"/>
      <c r="H114" s="198"/>
    </row>
    <row r="115" spans="1:8" ht="15" customHeight="1" x14ac:dyDescent="0.25">
      <c r="B115" s="47"/>
      <c r="C115" s="72" t="s">
        <v>44</v>
      </c>
      <c r="D115" s="95" t="s">
        <v>442</v>
      </c>
      <c r="E115" s="192"/>
      <c r="F115" s="195"/>
      <c r="G115" s="195"/>
      <c r="H115" s="198"/>
    </row>
    <row r="116" spans="1:8" ht="15" customHeight="1" thickBot="1" x14ac:dyDescent="0.3">
      <c r="B116" s="48"/>
      <c r="C116" s="75" t="s">
        <v>45</v>
      </c>
      <c r="D116" s="88" t="s">
        <v>443</v>
      </c>
      <c r="E116" s="193"/>
      <c r="F116" s="196"/>
      <c r="G116" s="196"/>
      <c r="H116" s="198"/>
    </row>
    <row r="117" spans="1:8" ht="27.95" customHeight="1" x14ac:dyDescent="0.25">
      <c r="A117" s="139" t="s">
        <v>355</v>
      </c>
      <c r="B117" s="46">
        <f>B113+1</f>
        <v>27</v>
      </c>
      <c r="C117" s="200" t="s">
        <v>432</v>
      </c>
      <c r="D117" s="201"/>
      <c r="E117" s="191"/>
      <c r="F117" s="194" t="str">
        <f t="shared" ref="F117" si="25">IF(E117="","",IF(G117=E117,1,0))</f>
        <v/>
      </c>
      <c r="G117" s="194" t="s">
        <v>44</v>
      </c>
      <c r="H117" s="197" t="str">
        <f>IF(F117&lt;&gt;1,"Incorrect:  You should replace the fixing in the brickwork with an eyebolt, bracket 22's or any other non standard fitting in brickwork should not be used.",IF(F117=1,"Correct",""))</f>
        <v>Incorrect:  You should replace the fixing in the brickwork with an eyebolt, bracket 22's or any other non standard fitting in brickwork should not be used.</v>
      </c>
    </row>
    <row r="118" spans="1:8" x14ac:dyDescent="0.25">
      <c r="B118" s="47"/>
      <c r="C118" s="72" t="s">
        <v>43</v>
      </c>
      <c r="D118" s="69" t="s">
        <v>433</v>
      </c>
      <c r="E118" s="192"/>
      <c r="F118" s="195"/>
      <c r="G118" s="195"/>
      <c r="H118" s="198"/>
    </row>
    <row r="119" spans="1:8" x14ac:dyDescent="0.25">
      <c r="B119" s="47"/>
      <c r="C119" s="72" t="s">
        <v>44</v>
      </c>
      <c r="D119" s="86" t="s">
        <v>434</v>
      </c>
      <c r="E119" s="192"/>
      <c r="F119" s="195"/>
      <c r="G119" s="195"/>
      <c r="H119" s="198"/>
    </row>
    <row r="120" spans="1:8" ht="15.75" thickBot="1" x14ac:dyDescent="0.3">
      <c r="B120" s="48"/>
      <c r="C120" s="75" t="s">
        <v>45</v>
      </c>
      <c r="D120" s="88" t="s">
        <v>435</v>
      </c>
      <c r="E120" s="193"/>
      <c r="F120" s="196"/>
      <c r="G120" s="196"/>
      <c r="H120" s="198"/>
    </row>
    <row r="121" spans="1:8" x14ac:dyDescent="0.25">
      <c r="A121" s="139" t="s">
        <v>385</v>
      </c>
      <c r="B121" s="46">
        <f>B117+1</f>
        <v>28</v>
      </c>
      <c r="C121" s="79" t="s">
        <v>419</v>
      </c>
      <c r="D121" s="85"/>
      <c r="E121" s="191"/>
      <c r="F121" s="194" t="str">
        <f t="shared" ref="F121" si="26">IF(E121="","",IF(G121=E121,1,0))</f>
        <v/>
      </c>
      <c r="G121" s="194" t="s">
        <v>45</v>
      </c>
      <c r="H121" s="197" t="str">
        <f>IF(F121&lt;&gt;1,"Incorrect:  You should complete a PQ test at last accesible point of intervention, if PQ passes and no audible noise issues then close job as 16.8 (or QBC) and apply TRC..",IF(F121=1,"Correct",""))</f>
        <v>Incorrect:  You should complete a PQ test at last accesible point of intervention, if PQ passes and no audible noise issues then close job as 16.8 (or QBC) and apply TRC..</v>
      </c>
    </row>
    <row r="122" spans="1:8" x14ac:dyDescent="0.25">
      <c r="B122" s="47"/>
      <c r="C122" s="72" t="s">
        <v>43</v>
      </c>
      <c r="D122" s="69" t="s">
        <v>421</v>
      </c>
      <c r="E122" s="192"/>
      <c r="F122" s="195"/>
      <c r="G122" s="195"/>
      <c r="H122" s="198"/>
    </row>
    <row r="123" spans="1:8" x14ac:dyDescent="0.25">
      <c r="B123" s="47"/>
      <c r="C123" s="72" t="s">
        <v>44</v>
      </c>
      <c r="D123" s="86" t="s">
        <v>420</v>
      </c>
      <c r="E123" s="192"/>
      <c r="F123" s="195"/>
      <c r="G123" s="195"/>
      <c r="H123" s="198"/>
    </row>
    <row r="124" spans="1:8" ht="30" customHeight="1" thickBot="1" x14ac:dyDescent="0.3">
      <c r="B124" s="48"/>
      <c r="C124" s="75" t="s">
        <v>45</v>
      </c>
      <c r="D124" s="103" t="s">
        <v>757</v>
      </c>
      <c r="E124" s="193"/>
      <c r="F124" s="196"/>
      <c r="G124" s="196"/>
      <c r="H124" s="198"/>
    </row>
    <row r="125" spans="1:8" ht="27.95" customHeight="1" x14ac:dyDescent="0.25">
      <c r="A125" s="139" t="s">
        <v>385</v>
      </c>
      <c r="B125" s="46">
        <f>B121+1</f>
        <v>29</v>
      </c>
      <c r="C125" s="200" t="s">
        <v>422</v>
      </c>
      <c r="D125" s="201"/>
      <c r="E125" s="191"/>
      <c r="F125" s="194" t="str">
        <f t="shared" ref="F125" si="27">IF(E125="","",IF(G125=E125,1,0))</f>
        <v/>
      </c>
      <c r="G125" s="194" t="s">
        <v>44</v>
      </c>
      <c r="H125" s="197" t="str">
        <f>IF(F125&lt;&gt;1,"Incorrect:  You should explain to the customer you are unable to fix their broadband.  Refer them back to their CP.  Close 16.2 and raise a TRC.",IF(F125=1,"Correct",""))</f>
        <v>Incorrect:  You should explain to the customer you are unable to fix their broadband.  Refer them back to their CP.  Close 16.2 and raise a TRC.</v>
      </c>
    </row>
    <row r="126" spans="1:8" x14ac:dyDescent="0.25">
      <c r="B126" s="47"/>
      <c r="C126" s="72" t="s">
        <v>43</v>
      </c>
      <c r="D126" s="69" t="s">
        <v>424</v>
      </c>
      <c r="E126" s="192"/>
      <c r="F126" s="195"/>
      <c r="G126" s="195"/>
      <c r="H126" s="198"/>
    </row>
    <row r="127" spans="1:8" ht="30" customHeight="1" x14ac:dyDescent="0.25">
      <c r="B127" s="47"/>
      <c r="C127" s="72" t="s">
        <v>44</v>
      </c>
      <c r="D127" s="93" t="s">
        <v>423</v>
      </c>
      <c r="E127" s="192"/>
      <c r="F127" s="195"/>
      <c r="G127" s="195"/>
      <c r="H127" s="198"/>
    </row>
    <row r="128" spans="1:8" ht="15.75" thickBot="1" x14ac:dyDescent="0.3">
      <c r="B128" s="48"/>
      <c r="C128" s="75" t="s">
        <v>45</v>
      </c>
      <c r="D128" s="88" t="s">
        <v>425</v>
      </c>
      <c r="E128" s="193"/>
      <c r="F128" s="196"/>
      <c r="G128" s="196"/>
      <c r="H128" s="198"/>
    </row>
    <row r="129" spans="1:8" x14ac:dyDescent="0.25">
      <c r="A129" s="139" t="s">
        <v>385</v>
      </c>
      <c r="B129" s="46">
        <f>B125+1</f>
        <v>30</v>
      </c>
      <c r="C129" s="200" t="s">
        <v>402</v>
      </c>
      <c r="D129" s="201"/>
      <c r="E129" s="191"/>
      <c r="F129" s="194" t="str">
        <f t="shared" ref="F129" si="28">IF(E129="","",IF(G129=E129,1,0))</f>
        <v/>
      </c>
      <c r="G129" s="194" t="s">
        <v>44</v>
      </c>
      <c r="H129" s="197" t="str">
        <f>IF(F129&lt;&gt;1,"Incorrect:  TRC banding will be shown on your task, if banding is given then this will be your indication of authorisation given for chargeable work  If no banding exists then you should not complete the work.",IF(F129=1,"Correct",""))</f>
        <v>Incorrect:  TRC banding will be shown on your task, if banding is given then this will be your indication of authorisation given for chargeable work  If no banding exists then you should not complete the work.</v>
      </c>
    </row>
    <row r="130" spans="1:8" x14ac:dyDescent="0.25">
      <c r="B130" s="47"/>
      <c r="C130" s="72" t="s">
        <v>43</v>
      </c>
      <c r="D130" s="69" t="s">
        <v>404</v>
      </c>
      <c r="E130" s="192"/>
      <c r="F130" s="195"/>
      <c r="G130" s="195"/>
      <c r="H130" s="198"/>
    </row>
    <row r="131" spans="1:8" x14ac:dyDescent="0.25">
      <c r="B131" s="47"/>
      <c r="C131" s="72" t="s">
        <v>44</v>
      </c>
      <c r="D131" s="86" t="s">
        <v>403</v>
      </c>
      <c r="E131" s="192"/>
      <c r="F131" s="195"/>
      <c r="G131" s="195"/>
      <c r="H131" s="198"/>
    </row>
    <row r="132" spans="1:8" ht="15.75" thickBot="1" x14ac:dyDescent="0.3">
      <c r="B132" s="48"/>
      <c r="C132" s="75" t="s">
        <v>45</v>
      </c>
      <c r="D132" s="88" t="s">
        <v>405</v>
      </c>
      <c r="E132" s="193"/>
      <c r="F132" s="195"/>
      <c r="G132" s="196"/>
      <c r="H132" s="198"/>
    </row>
    <row r="133" spans="1:8" ht="27.95" customHeight="1" x14ac:dyDescent="0.25">
      <c r="A133" s="139" t="s">
        <v>385</v>
      </c>
      <c r="B133" s="46">
        <f>B129+1</f>
        <v>31</v>
      </c>
      <c r="C133" s="200" t="s">
        <v>406</v>
      </c>
      <c r="D133" s="201"/>
      <c r="E133" s="191"/>
      <c r="F133" s="194" t="str">
        <f t="shared" ref="F133" si="29">IF(E133="","",IF(G133=E133,1,0))</f>
        <v/>
      </c>
      <c r="G133" s="194" t="s">
        <v>44</v>
      </c>
      <c r="H133" s="197" t="str">
        <f>IF(F133&lt;&gt;1,"Incorrect:  You should Disconnect the faulty wiring at the NTE5, advise the customer that the wiring is faulty and that they should contact their CP.  Close the fault with good notes.  TRC should be raised from Question based closure.",IF(F133=1,"Correct",""))</f>
        <v>Incorrect:  You should Disconnect the faulty wiring at the NTE5, advise the customer that the wiring is faulty and that they should contact their CP.  Close the fault with good notes.  TRC should be raised from Question based closure.</v>
      </c>
    </row>
    <row r="134" spans="1:8" ht="30" x14ac:dyDescent="0.25">
      <c r="B134" s="47"/>
      <c r="C134" s="72" t="s">
        <v>43</v>
      </c>
      <c r="D134" s="95" t="s">
        <v>758</v>
      </c>
      <c r="E134" s="192"/>
      <c r="F134" s="195"/>
      <c r="G134" s="195"/>
      <c r="H134" s="198"/>
    </row>
    <row r="135" spans="1:8" ht="30" x14ac:dyDescent="0.25">
      <c r="B135" s="47"/>
      <c r="C135" s="72" t="s">
        <v>44</v>
      </c>
      <c r="D135" s="93" t="s">
        <v>408</v>
      </c>
      <c r="E135" s="192"/>
      <c r="F135" s="195"/>
      <c r="G135" s="195"/>
      <c r="H135" s="198"/>
    </row>
    <row r="136" spans="1:8" ht="30" customHeight="1" thickBot="1" x14ac:dyDescent="0.3">
      <c r="B136" s="48"/>
      <c r="C136" s="75" t="s">
        <v>45</v>
      </c>
      <c r="D136" s="103" t="s">
        <v>407</v>
      </c>
      <c r="E136" s="193"/>
      <c r="F136" s="195"/>
      <c r="G136" s="196"/>
      <c r="H136" s="198"/>
    </row>
    <row r="137" spans="1:8" x14ac:dyDescent="0.25">
      <c r="A137" s="139" t="s">
        <v>385</v>
      </c>
      <c r="B137" s="46">
        <f>B133+1</f>
        <v>32</v>
      </c>
      <c r="C137" s="79" t="s">
        <v>409</v>
      </c>
      <c r="D137" s="85"/>
      <c r="E137" s="191"/>
      <c r="F137" s="194" t="str">
        <f t="shared" ref="F137" si="30">IF(E137="","",IF(G137=E137,1,0))</f>
        <v/>
      </c>
      <c r="G137" s="194" t="s">
        <v>44</v>
      </c>
      <c r="H137" s="197" t="str">
        <f>IF(F137&lt;&gt;1,"Incorrect:  You should raise a TRC as the damage is within the customers curtilage.",IF(F137=1,"Correct",""))</f>
        <v>Incorrect:  You should raise a TRC as the damage is within the customers curtilage.</v>
      </c>
    </row>
    <row r="138" spans="1:8" x14ac:dyDescent="0.25">
      <c r="B138" s="47"/>
      <c r="C138" s="72" t="s">
        <v>43</v>
      </c>
      <c r="D138" s="69" t="s">
        <v>410</v>
      </c>
      <c r="E138" s="192"/>
      <c r="F138" s="195"/>
      <c r="G138" s="195"/>
      <c r="H138" s="198"/>
    </row>
    <row r="139" spans="1:8" x14ac:dyDescent="0.25">
      <c r="B139" s="47"/>
      <c r="C139" s="72" t="s">
        <v>44</v>
      </c>
      <c r="D139" s="86" t="s">
        <v>411</v>
      </c>
      <c r="E139" s="192"/>
      <c r="F139" s="195"/>
      <c r="G139" s="195"/>
      <c r="H139" s="198"/>
    </row>
    <row r="140" spans="1:8" ht="15.75" thickBot="1" x14ac:dyDescent="0.3">
      <c r="B140" s="48"/>
      <c r="C140" s="75" t="s">
        <v>45</v>
      </c>
      <c r="D140" s="88" t="s">
        <v>412</v>
      </c>
      <c r="E140" s="193"/>
      <c r="F140" s="196"/>
      <c r="G140" s="196"/>
      <c r="H140" s="198"/>
    </row>
    <row r="141" spans="1:8" x14ac:dyDescent="0.25">
      <c r="A141" s="139" t="s">
        <v>385</v>
      </c>
      <c r="B141" s="46">
        <f>B137+1</f>
        <v>33</v>
      </c>
      <c r="C141" s="200" t="s">
        <v>759</v>
      </c>
      <c r="D141" s="201"/>
      <c r="E141" s="191"/>
      <c r="F141" s="194" t="str">
        <f t="shared" ref="F141" si="31">IF(E141="","",IF(G141=E141,1,0))</f>
        <v/>
      </c>
      <c r="G141" s="194" t="s">
        <v>43</v>
      </c>
      <c r="H141" s="197" t="str">
        <f>IF(F141&lt;&gt;1,"Incorrect:  You should site the new NTE away from the source of dampness, raise a TRC and include good notes on the cause of the dampness.",IF(F141=1,"Correct",""))</f>
        <v>Incorrect:  You should site the new NTE away from the source of dampness, raise a TRC and include good notes on the cause of the dampness.</v>
      </c>
    </row>
    <row r="142" spans="1:8" ht="30" x14ac:dyDescent="0.25">
      <c r="B142" s="47"/>
      <c r="C142" s="72" t="s">
        <v>43</v>
      </c>
      <c r="D142" s="95" t="s">
        <v>413</v>
      </c>
      <c r="E142" s="192"/>
      <c r="F142" s="195"/>
      <c r="G142" s="195"/>
      <c r="H142" s="198"/>
    </row>
    <row r="143" spans="1:8" x14ac:dyDescent="0.25">
      <c r="B143" s="47"/>
      <c r="C143" s="72" t="s">
        <v>44</v>
      </c>
      <c r="D143" s="86" t="s">
        <v>414</v>
      </c>
      <c r="E143" s="192"/>
      <c r="F143" s="195"/>
      <c r="G143" s="195"/>
      <c r="H143" s="198"/>
    </row>
    <row r="144" spans="1:8" ht="15.75" thickBot="1" x14ac:dyDescent="0.3">
      <c r="B144" s="48"/>
      <c r="C144" s="75" t="s">
        <v>45</v>
      </c>
      <c r="D144" s="88" t="s">
        <v>415</v>
      </c>
      <c r="E144" s="193"/>
      <c r="F144" s="196"/>
      <c r="G144" s="196"/>
      <c r="H144" s="198"/>
    </row>
    <row r="145" spans="1:8" x14ac:dyDescent="0.25">
      <c r="A145" s="139" t="s">
        <v>385</v>
      </c>
      <c r="B145" s="46">
        <f>B141+1</f>
        <v>34</v>
      </c>
      <c r="C145" s="200" t="s">
        <v>416</v>
      </c>
      <c r="D145" s="201"/>
      <c r="E145" s="191"/>
      <c r="F145" s="194" t="str">
        <f t="shared" ref="F145" si="32">IF(E145="","",IF(G145=E145,1,0))</f>
        <v/>
      </c>
      <c r="G145" s="194" t="s">
        <v>44</v>
      </c>
      <c r="H145" s="197" t="str">
        <f>IF(F145&lt;&gt;1,"Incorrect:  You should clear the task as a 60.1C and raise a TRC.  Provide good notes on te damage inside the customers premises",IF(F145=1,"Correct",""))</f>
        <v>Incorrect:  You should clear the task as a 60.1C and raise a TRC.  Provide good notes on te damage inside the customers premises</v>
      </c>
    </row>
    <row r="146" spans="1:8" x14ac:dyDescent="0.25">
      <c r="B146" s="47"/>
      <c r="C146" s="72" t="s">
        <v>43</v>
      </c>
      <c r="D146" s="69" t="s">
        <v>417</v>
      </c>
      <c r="E146" s="192"/>
      <c r="F146" s="195"/>
      <c r="G146" s="195"/>
      <c r="H146" s="198"/>
    </row>
    <row r="147" spans="1:8" x14ac:dyDescent="0.25">
      <c r="B147" s="47"/>
      <c r="C147" s="72" t="s">
        <v>44</v>
      </c>
      <c r="D147" s="86" t="s">
        <v>418</v>
      </c>
      <c r="E147" s="192"/>
      <c r="F147" s="195"/>
      <c r="G147" s="195"/>
      <c r="H147" s="198"/>
    </row>
    <row r="148" spans="1:8" ht="15.75" thickBot="1" x14ac:dyDescent="0.3">
      <c r="B148" s="48"/>
      <c r="C148" s="75" t="s">
        <v>45</v>
      </c>
      <c r="D148" s="88" t="s">
        <v>410</v>
      </c>
      <c r="E148" s="193"/>
      <c r="F148" s="196"/>
      <c r="G148" s="196"/>
      <c r="H148" s="198"/>
    </row>
    <row r="149" spans="1:8" x14ac:dyDescent="0.25">
      <c r="A149" s="139" t="s">
        <v>385</v>
      </c>
      <c r="B149" s="46">
        <f>B145+1</f>
        <v>35</v>
      </c>
      <c r="C149" s="79" t="s">
        <v>444</v>
      </c>
      <c r="D149" s="85"/>
      <c r="E149" s="191"/>
      <c r="F149" s="194" t="str">
        <f t="shared" ref="F149" si="33">IF(E149="","",IF(G149=E149,1,0))</f>
        <v/>
      </c>
      <c r="G149" s="194" t="s">
        <v>43</v>
      </c>
      <c r="H149" s="197" t="str">
        <f>IF(F149&lt;&gt;1,"Incorrect:  You should treat the job as a failed provision, regardless of the work the has been completed.  Clear the job as an 81.4R (OR QBC) and do not apply a TRC.",IF(F149=1,"Correct",""))</f>
        <v>Incorrect:  You should treat the job as a failed provision, regardless of the work the has been completed.  Clear the job as an 81.4R (OR QBC) and do not apply a TRC.</v>
      </c>
    </row>
    <row r="150" spans="1:8" ht="30" customHeight="1" x14ac:dyDescent="0.25">
      <c r="B150" s="47"/>
      <c r="C150" s="72" t="s">
        <v>43</v>
      </c>
      <c r="D150" s="104" t="s">
        <v>445</v>
      </c>
      <c r="E150" s="192"/>
      <c r="F150" s="195"/>
      <c r="G150" s="195"/>
      <c r="H150" s="198"/>
    </row>
    <row r="151" spans="1:8" x14ac:dyDescent="0.25">
      <c r="B151" s="47"/>
      <c r="C151" s="72" t="s">
        <v>44</v>
      </c>
      <c r="D151" s="86" t="s">
        <v>446</v>
      </c>
      <c r="E151" s="192"/>
      <c r="F151" s="195"/>
      <c r="G151" s="195"/>
      <c r="H151" s="198"/>
    </row>
    <row r="152" spans="1:8" ht="15.75" thickBot="1" x14ac:dyDescent="0.3">
      <c r="B152" s="48"/>
      <c r="C152" s="75" t="s">
        <v>45</v>
      </c>
      <c r="D152" s="88" t="s">
        <v>447</v>
      </c>
      <c r="E152" s="193"/>
      <c r="F152" s="196"/>
      <c r="G152" s="196"/>
      <c r="H152" s="198"/>
    </row>
    <row r="153" spans="1:8" ht="27.95" customHeight="1" x14ac:dyDescent="0.25">
      <c r="A153" s="139" t="s">
        <v>385</v>
      </c>
      <c r="B153" s="46">
        <f>B149+1</f>
        <v>36</v>
      </c>
      <c r="C153" s="200" t="s">
        <v>448</v>
      </c>
      <c r="D153" s="201"/>
      <c r="E153" s="191"/>
      <c r="F153" s="194" t="str">
        <f t="shared" ref="F153" si="34">IF(E153="","",IF(G153=E153,1,0))</f>
        <v/>
      </c>
      <c r="G153" s="194" t="s">
        <v>45</v>
      </c>
      <c r="H153" s="197" t="str">
        <f>IF(F153&lt;&gt;1,"Incorrect:  No further network invetigation or work should be undertaken and the job should be closed a 151.3 with a TRC.",IF(F153=1,"Correct",""))</f>
        <v>Incorrect:  No further network invetigation or work should be undertaken and the job should be closed a 151.3 with a TRC.</v>
      </c>
    </row>
    <row r="154" spans="1:8" x14ac:dyDescent="0.25">
      <c r="B154" s="47"/>
      <c r="C154" s="72" t="s">
        <v>43</v>
      </c>
      <c r="D154" s="69" t="s">
        <v>449</v>
      </c>
      <c r="E154" s="192"/>
      <c r="F154" s="195"/>
      <c r="G154" s="195"/>
      <c r="H154" s="198"/>
    </row>
    <row r="155" spans="1:8" x14ac:dyDescent="0.25">
      <c r="B155" s="47"/>
      <c r="C155" s="72" t="s">
        <v>44</v>
      </c>
      <c r="D155" s="86" t="s">
        <v>450</v>
      </c>
      <c r="E155" s="192"/>
      <c r="F155" s="195"/>
      <c r="G155" s="195"/>
      <c r="H155" s="198"/>
    </row>
    <row r="156" spans="1:8" ht="15.75" thickBot="1" x14ac:dyDescent="0.3">
      <c r="B156" s="48"/>
      <c r="C156" s="75" t="s">
        <v>45</v>
      </c>
      <c r="D156" s="69" t="s">
        <v>760</v>
      </c>
      <c r="E156" s="193"/>
      <c r="F156" s="196"/>
      <c r="G156" s="196"/>
      <c r="H156" s="198"/>
    </row>
    <row r="157" spans="1:8" ht="27.95" customHeight="1" x14ac:dyDescent="0.25">
      <c r="A157" s="139" t="s">
        <v>385</v>
      </c>
      <c r="B157" s="46">
        <f>B153+1</f>
        <v>37</v>
      </c>
      <c r="C157" s="200" t="s">
        <v>761</v>
      </c>
      <c r="D157" s="201"/>
      <c r="E157" s="191"/>
      <c r="F157" s="194" t="str">
        <f t="shared" ref="F157" si="35">IF(E157="","",IF(G157=E157,1,0))</f>
        <v/>
      </c>
      <c r="G157" s="194" t="s">
        <v>43</v>
      </c>
      <c r="H157" s="197" t="str">
        <f>IF(F157&lt;&gt;1,"Incorrect:  The maximum time allowed to provide an NTE5 to a location agreed by the customer is 1 hour from the point of entry into the premises on a WLR3 basic / MPF task.",IF(F157=1,"Correct",""))</f>
        <v>Incorrect:  The maximum time allowed to provide an NTE5 to a location agreed by the customer is 1 hour from the point of entry into the premises on a WLR3 basic / MPF task.</v>
      </c>
    </row>
    <row r="158" spans="1:8" x14ac:dyDescent="0.25">
      <c r="B158" s="47"/>
      <c r="C158" s="72" t="s">
        <v>43</v>
      </c>
      <c r="D158" s="69" t="s">
        <v>452</v>
      </c>
      <c r="E158" s="192"/>
      <c r="F158" s="195"/>
      <c r="G158" s="195"/>
      <c r="H158" s="198"/>
    </row>
    <row r="159" spans="1:8" x14ac:dyDescent="0.25">
      <c r="B159" s="47"/>
      <c r="C159" s="72" t="s">
        <v>44</v>
      </c>
      <c r="D159" s="86" t="s">
        <v>451</v>
      </c>
      <c r="E159" s="192"/>
      <c r="F159" s="195"/>
      <c r="G159" s="195"/>
      <c r="H159" s="198"/>
    </row>
    <row r="160" spans="1:8" ht="15.75" thickBot="1" x14ac:dyDescent="0.3">
      <c r="B160" s="48"/>
      <c r="C160" s="75" t="s">
        <v>45</v>
      </c>
      <c r="D160" s="88" t="s">
        <v>453</v>
      </c>
      <c r="E160" s="193"/>
      <c r="F160" s="196"/>
      <c r="G160" s="196"/>
      <c r="H160" s="198"/>
    </row>
    <row r="161" spans="1:8" x14ac:dyDescent="0.25">
      <c r="A161" s="139" t="s">
        <v>385</v>
      </c>
      <c r="B161" s="46">
        <f>B157+1</f>
        <v>38</v>
      </c>
      <c r="C161" s="79" t="s">
        <v>454</v>
      </c>
      <c r="D161" s="85"/>
      <c r="E161" s="191"/>
      <c r="F161" s="194" t="str">
        <f t="shared" ref="F161" si="36">IF(E161="","",IF(G161=E161,1,0))</f>
        <v/>
      </c>
      <c r="G161" s="194" t="s">
        <v>43</v>
      </c>
      <c r="H161" s="197" t="str">
        <f>IF(F161&lt;&gt;1,"Incorrect:  The maximum time allowed to provide an NTE5 to a location agreed by the customer is 2 hours from the point of entry into the premises on a WLR3 premium task.",IF(F161=1,"Correct",""))</f>
        <v>Incorrect:  The maximum time allowed to provide an NTE5 to a location agreed by the customer is 2 hours from the point of entry into the premises on a WLR3 premium task.</v>
      </c>
    </row>
    <row r="162" spans="1:8" x14ac:dyDescent="0.25">
      <c r="B162" s="47"/>
      <c r="C162" s="72" t="s">
        <v>43</v>
      </c>
      <c r="D162" s="69" t="s">
        <v>451</v>
      </c>
      <c r="E162" s="192"/>
      <c r="F162" s="195"/>
      <c r="G162" s="195"/>
      <c r="H162" s="198"/>
    </row>
    <row r="163" spans="1:8" x14ac:dyDescent="0.25">
      <c r="B163" s="47"/>
      <c r="C163" s="72" t="s">
        <v>44</v>
      </c>
      <c r="D163" s="86" t="s">
        <v>455</v>
      </c>
      <c r="E163" s="192"/>
      <c r="F163" s="195"/>
      <c r="G163" s="195"/>
      <c r="H163" s="198"/>
    </row>
    <row r="164" spans="1:8" ht="15.75" thickBot="1" x14ac:dyDescent="0.3">
      <c r="B164" s="48"/>
      <c r="C164" s="75" t="s">
        <v>45</v>
      </c>
      <c r="D164" s="88" t="s">
        <v>453</v>
      </c>
      <c r="E164" s="193"/>
      <c r="F164" s="196"/>
      <c r="G164" s="196"/>
      <c r="H164" s="198"/>
    </row>
    <row r="165" spans="1:8" ht="27.95" customHeight="1" x14ac:dyDescent="0.25">
      <c r="A165" s="139" t="s">
        <v>385</v>
      </c>
      <c r="B165" s="46">
        <f>B161+1</f>
        <v>39</v>
      </c>
      <c r="C165" s="200" t="s">
        <v>762</v>
      </c>
      <c r="D165" s="201"/>
      <c r="E165" s="191"/>
      <c r="F165" s="194" t="str">
        <f t="shared" ref="F165" si="37">IF(E165="","",IF(G165=E165,1,0))</f>
        <v/>
      </c>
      <c r="G165" s="194" t="s">
        <v>43</v>
      </c>
      <c r="H165" s="197" t="str">
        <f>IF(F165&lt;&gt;1,"Incorrect:  You should refer the customer back to their CP and no further Openreach installation work should be completed.  Close as incomplete, awaiting resolution by the CP.",IF(F165=1,"Correct",""))</f>
        <v>Incorrect:  You should refer the customer back to their CP and no further Openreach installation work should be completed.  Close as incomplete, awaiting resolution by the CP.</v>
      </c>
    </row>
    <row r="166" spans="1:8" ht="30" x14ac:dyDescent="0.25">
      <c r="B166" s="47"/>
      <c r="C166" s="72" t="s">
        <v>43</v>
      </c>
      <c r="D166" s="95" t="s">
        <v>456</v>
      </c>
      <c r="E166" s="192"/>
      <c r="F166" s="195"/>
      <c r="G166" s="195"/>
      <c r="H166" s="198"/>
    </row>
    <row r="167" spans="1:8" x14ac:dyDescent="0.25">
      <c r="B167" s="47"/>
      <c r="C167" s="72" t="s">
        <v>44</v>
      </c>
      <c r="D167" s="86" t="s">
        <v>457</v>
      </c>
      <c r="E167" s="192"/>
      <c r="F167" s="195"/>
      <c r="G167" s="195"/>
      <c r="H167" s="198"/>
    </row>
    <row r="168" spans="1:8" ht="15.75" thickBot="1" x14ac:dyDescent="0.3">
      <c r="B168" s="48"/>
      <c r="C168" s="75" t="s">
        <v>45</v>
      </c>
      <c r="D168" s="88" t="s">
        <v>458</v>
      </c>
      <c r="E168" s="193"/>
      <c r="F168" s="196"/>
      <c r="G168" s="196"/>
      <c r="H168" s="198"/>
    </row>
    <row r="169" spans="1:8" ht="45" customHeight="1" x14ac:dyDescent="0.25">
      <c r="A169" s="139" t="s">
        <v>385</v>
      </c>
      <c r="B169" s="46">
        <f>B165+1</f>
        <v>40</v>
      </c>
      <c r="C169" s="200" t="s">
        <v>459</v>
      </c>
      <c r="D169" s="201"/>
      <c r="E169" s="191"/>
      <c r="F169" s="194" t="str">
        <f t="shared" ref="F169" si="38">IF(E169="","",IF(G169=E169,1,0))</f>
        <v/>
      </c>
      <c r="G169" s="194" t="s">
        <v>44</v>
      </c>
      <c r="H169" s="197" t="str">
        <f>IF(F169&lt;&gt;1,"Incorrect:  The TRC banding is for the time above the installation of the NTE5 which was completed as required so the banding left is enough.  Run the extension wiring as requested.",IF(F169=1,"Correct",""))</f>
        <v>Incorrect:  The TRC banding is for the time above the installation of the NTE5 which was completed as required so the banding left is enough.  Run the extension wiring as requested.</v>
      </c>
    </row>
    <row r="170" spans="1:8" x14ac:dyDescent="0.25">
      <c r="B170" s="47"/>
      <c r="C170" s="72" t="s">
        <v>43</v>
      </c>
      <c r="D170" s="69" t="s">
        <v>460</v>
      </c>
      <c r="E170" s="192"/>
      <c r="F170" s="195"/>
      <c r="G170" s="195"/>
      <c r="H170" s="198"/>
    </row>
    <row r="171" spans="1:8" x14ac:dyDescent="0.25">
      <c r="B171" s="47"/>
      <c r="C171" s="72" t="s">
        <v>44</v>
      </c>
      <c r="D171" s="86" t="s">
        <v>795</v>
      </c>
      <c r="E171" s="192"/>
      <c r="F171" s="195"/>
      <c r="G171" s="195"/>
      <c r="H171" s="198"/>
    </row>
    <row r="172" spans="1:8" ht="15.75" thickBot="1" x14ac:dyDescent="0.3">
      <c r="B172" s="48"/>
      <c r="C172" s="75" t="s">
        <v>45</v>
      </c>
      <c r="D172" s="88" t="s">
        <v>796</v>
      </c>
      <c r="E172" s="193"/>
      <c r="F172" s="196"/>
      <c r="G172" s="196"/>
      <c r="H172" s="198"/>
    </row>
    <row r="174" spans="1:8" ht="15.75" thickBot="1" x14ac:dyDescent="0.3"/>
    <row r="175" spans="1:8" x14ac:dyDescent="0.25">
      <c r="C175" s="205" t="s">
        <v>745</v>
      </c>
      <c r="D175" s="206"/>
      <c r="E175" s="207"/>
    </row>
    <row r="176" spans="1:8" x14ac:dyDescent="0.25">
      <c r="C176" s="208"/>
      <c r="D176" s="209"/>
      <c r="E176" s="210"/>
    </row>
    <row r="177" spans="3:5" ht="15.75" thickBot="1" x14ac:dyDescent="0.3">
      <c r="C177" s="211"/>
      <c r="D177" s="212"/>
      <c r="E177" s="213"/>
    </row>
  </sheetData>
  <sheetProtection sheet="1" objects="1" scenarios="1" selectLockedCells="1"/>
  <mergeCells count="186">
    <mergeCell ref="C175:E177"/>
    <mergeCell ref="E169:E172"/>
    <mergeCell ref="F169:F172"/>
    <mergeCell ref="G169:G172"/>
    <mergeCell ref="H169:H172"/>
    <mergeCell ref="C125:D125"/>
    <mergeCell ref="C129:D129"/>
    <mergeCell ref="C133:D133"/>
    <mergeCell ref="C141:D141"/>
    <mergeCell ref="C145:D145"/>
    <mergeCell ref="C153:D153"/>
    <mergeCell ref="C157:D157"/>
    <mergeCell ref="C165:D165"/>
    <mergeCell ref="C169:D169"/>
    <mergeCell ref="E157:E160"/>
    <mergeCell ref="F157:F160"/>
    <mergeCell ref="G157:G160"/>
    <mergeCell ref="H157:H160"/>
    <mergeCell ref="E161:E164"/>
    <mergeCell ref="F161:F164"/>
    <mergeCell ref="G161:G164"/>
    <mergeCell ref="H161:H164"/>
    <mergeCell ref="E165:E168"/>
    <mergeCell ref="F165:F168"/>
    <mergeCell ref="G165:G168"/>
    <mergeCell ref="H165:H168"/>
    <mergeCell ref="E145:E148"/>
    <mergeCell ref="F145:F148"/>
    <mergeCell ref="G145:G148"/>
    <mergeCell ref="H145:H148"/>
    <mergeCell ref="E149:E152"/>
    <mergeCell ref="F149:F152"/>
    <mergeCell ref="G149:G152"/>
    <mergeCell ref="H149:H152"/>
    <mergeCell ref="E153:E156"/>
    <mergeCell ref="F153:F156"/>
    <mergeCell ref="G153:G156"/>
    <mergeCell ref="H153:H156"/>
    <mergeCell ref="E133:E136"/>
    <mergeCell ref="F133:F136"/>
    <mergeCell ref="G133:G136"/>
    <mergeCell ref="H133:H136"/>
    <mergeCell ref="E137:E140"/>
    <mergeCell ref="F137:F140"/>
    <mergeCell ref="G137:G140"/>
    <mergeCell ref="H137:H140"/>
    <mergeCell ref="E141:E144"/>
    <mergeCell ref="F141:F144"/>
    <mergeCell ref="G141:G144"/>
    <mergeCell ref="H141:H144"/>
    <mergeCell ref="E125:E128"/>
    <mergeCell ref="F125:F128"/>
    <mergeCell ref="G125:G128"/>
    <mergeCell ref="H125:H128"/>
    <mergeCell ref="E129:E132"/>
    <mergeCell ref="F129:F132"/>
    <mergeCell ref="G129:G132"/>
    <mergeCell ref="H129:H132"/>
    <mergeCell ref="C113:D113"/>
    <mergeCell ref="C117:D117"/>
    <mergeCell ref="G113:G116"/>
    <mergeCell ref="H113:H116"/>
    <mergeCell ref="E117:E120"/>
    <mergeCell ref="F117:F120"/>
    <mergeCell ref="G117:G120"/>
    <mergeCell ref="H117:H120"/>
    <mergeCell ref="E121:E124"/>
    <mergeCell ref="F121:F124"/>
    <mergeCell ref="G121:G124"/>
    <mergeCell ref="H121:H124"/>
    <mergeCell ref="C75:D75"/>
    <mergeCell ref="C79:D79"/>
    <mergeCell ref="C62:D62"/>
    <mergeCell ref="C87:D87"/>
    <mergeCell ref="C95:D95"/>
    <mergeCell ref="C103:D103"/>
    <mergeCell ref="E113:E116"/>
    <mergeCell ref="F113:F116"/>
    <mergeCell ref="C109:D109"/>
    <mergeCell ref="E70:E74"/>
    <mergeCell ref="F70:F74"/>
    <mergeCell ref="B4:E4"/>
    <mergeCell ref="E109:E112"/>
    <mergeCell ref="F109:F112"/>
    <mergeCell ref="G109:G112"/>
    <mergeCell ref="H109:H112"/>
    <mergeCell ref="E99:E102"/>
    <mergeCell ref="F99:F102"/>
    <mergeCell ref="G99:G102"/>
    <mergeCell ref="H99:H102"/>
    <mergeCell ref="E103:E108"/>
    <mergeCell ref="F103:F108"/>
    <mergeCell ref="G103:G108"/>
    <mergeCell ref="H103:H108"/>
    <mergeCell ref="E91:E94"/>
    <mergeCell ref="F91:F94"/>
    <mergeCell ref="G91:G94"/>
    <mergeCell ref="H91:H94"/>
    <mergeCell ref="E95:E98"/>
    <mergeCell ref="F95:F98"/>
    <mergeCell ref="G95:G98"/>
    <mergeCell ref="H95:H98"/>
    <mergeCell ref="E83:E86"/>
    <mergeCell ref="F83:F86"/>
    <mergeCell ref="G83:G86"/>
    <mergeCell ref="H83:H86"/>
    <mergeCell ref="E87:E90"/>
    <mergeCell ref="F87:F90"/>
    <mergeCell ref="G87:G90"/>
    <mergeCell ref="H87:H90"/>
    <mergeCell ref="E75:E78"/>
    <mergeCell ref="F75:F78"/>
    <mergeCell ref="G75:G78"/>
    <mergeCell ref="H75:H78"/>
    <mergeCell ref="E79:E82"/>
    <mergeCell ref="F79:F82"/>
    <mergeCell ref="G79:G82"/>
    <mergeCell ref="H79:H82"/>
    <mergeCell ref="G70:G74"/>
    <mergeCell ref="H70:H74"/>
    <mergeCell ref="E58:E61"/>
    <mergeCell ref="F58:F61"/>
    <mergeCell ref="G58:G61"/>
    <mergeCell ref="H58:H61"/>
    <mergeCell ref="E62:E65"/>
    <mergeCell ref="F62:F65"/>
    <mergeCell ref="G62:G65"/>
    <mergeCell ref="H62:H65"/>
    <mergeCell ref="C54:D54"/>
    <mergeCell ref="E54:E57"/>
    <mergeCell ref="F54:F57"/>
    <mergeCell ref="G54:G57"/>
    <mergeCell ref="H54:H57"/>
    <mergeCell ref="C50:D50"/>
    <mergeCell ref="E66:E69"/>
    <mergeCell ref="F66:F69"/>
    <mergeCell ref="G66:G69"/>
    <mergeCell ref="H66:H69"/>
    <mergeCell ref="C58:D58"/>
    <mergeCell ref="C66:D66"/>
    <mergeCell ref="E46:E49"/>
    <mergeCell ref="F46:F49"/>
    <mergeCell ref="G46:G49"/>
    <mergeCell ref="H46:H49"/>
    <mergeCell ref="E38:E41"/>
    <mergeCell ref="F38:F41"/>
    <mergeCell ref="G38:G41"/>
    <mergeCell ref="H38:H41"/>
    <mergeCell ref="E50:E53"/>
    <mergeCell ref="F50:F53"/>
    <mergeCell ref="G50:G53"/>
    <mergeCell ref="H50:H53"/>
    <mergeCell ref="E8:E12"/>
    <mergeCell ref="F8:F12"/>
    <mergeCell ref="G8:G12"/>
    <mergeCell ref="H8:H12"/>
    <mergeCell ref="E13:E16"/>
    <mergeCell ref="F13:F16"/>
    <mergeCell ref="G13:G16"/>
    <mergeCell ref="H13:H16"/>
    <mergeCell ref="E42:E45"/>
    <mergeCell ref="F42:F45"/>
    <mergeCell ref="G42:G45"/>
    <mergeCell ref="H42:H45"/>
    <mergeCell ref="E34:E37"/>
    <mergeCell ref="F34:F37"/>
    <mergeCell ref="G34:G37"/>
    <mergeCell ref="H34:H37"/>
    <mergeCell ref="C25:D25"/>
    <mergeCell ref="C30:D30"/>
    <mergeCell ref="E17:E20"/>
    <mergeCell ref="F17:F20"/>
    <mergeCell ref="G17:G20"/>
    <mergeCell ref="H17:H20"/>
    <mergeCell ref="E21:E24"/>
    <mergeCell ref="F21:F24"/>
    <mergeCell ref="G21:G24"/>
    <mergeCell ref="H21:H24"/>
    <mergeCell ref="E25:E29"/>
    <mergeCell ref="F25:F29"/>
    <mergeCell ref="G25:G29"/>
    <mergeCell ref="H25:H29"/>
    <mergeCell ref="E30:E33"/>
    <mergeCell ref="F30:F33"/>
    <mergeCell ref="G30:G33"/>
    <mergeCell ref="H30:H33"/>
  </mergeCells>
  <conditionalFormatting sqref="H87:H90 H8:H65 H70:H78 H113:H116">
    <cfRule type="cellIs" dxfId="51" priority="29" operator="equal">
      <formula>"Correct"</formula>
    </cfRule>
  </conditionalFormatting>
  <conditionalFormatting sqref="H66:H69">
    <cfRule type="cellIs" dxfId="50" priority="26" operator="equal">
      <formula>"Correct"</formula>
    </cfRule>
  </conditionalFormatting>
  <conditionalFormatting sqref="H79:H82">
    <cfRule type="cellIs" dxfId="49" priority="28" operator="equal">
      <formula>"Correct"</formula>
    </cfRule>
  </conditionalFormatting>
  <conditionalFormatting sqref="H83">
    <cfRule type="cellIs" dxfId="48" priority="27" operator="equal">
      <formula>"Correct"</formula>
    </cfRule>
  </conditionalFormatting>
  <conditionalFormatting sqref="H91:H94">
    <cfRule type="cellIs" dxfId="47" priority="25" operator="equal">
      <formula>"Correct"</formula>
    </cfRule>
  </conditionalFormatting>
  <conditionalFormatting sqref="H145:H148">
    <cfRule type="cellIs" dxfId="46" priority="4" operator="equal">
      <formula>"Correct"</formula>
    </cfRule>
  </conditionalFormatting>
  <conditionalFormatting sqref="H95:H98">
    <cfRule type="cellIs" dxfId="45" priority="24" operator="equal">
      <formula>"Correct"</formula>
    </cfRule>
  </conditionalFormatting>
  <conditionalFormatting sqref="H125:H128">
    <cfRule type="cellIs" dxfId="44" priority="20" operator="equal">
      <formula>"Correct"</formula>
    </cfRule>
  </conditionalFormatting>
  <conditionalFormatting sqref="H121:H124">
    <cfRule type="cellIs" dxfId="43" priority="21" operator="equal">
      <formula>"Correct"</formula>
    </cfRule>
  </conditionalFormatting>
  <conditionalFormatting sqref="H149:H152">
    <cfRule type="cellIs" dxfId="42" priority="14" operator="equal">
      <formula>"Correct"</formula>
    </cfRule>
  </conditionalFormatting>
  <conditionalFormatting sqref="H153:H156">
    <cfRule type="cellIs" dxfId="41" priority="13" operator="equal">
      <formula>"Correct"</formula>
    </cfRule>
  </conditionalFormatting>
  <conditionalFormatting sqref="H157:H160">
    <cfRule type="cellIs" dxfId="40" priority="12" operator="equal">
      <formula>"Correct"</formula>
    </cfRule>
  </conditionalFormatting>
  <conditionalFormatting sqref="H161:H164">
    <cfRule type="cellIs" dxfId="39" priority="11" operator="equal">
      <formula>"Correct"</formula>
    </cfRule>
  </conditionalFormatting>
  <conditionalFormatting sqref="H109:H112">
    <cfRule type="cellIs" dxfId="38" priority="2" operator="equal">
      <formula>"Correct"</formula>
    </cfRule>
  </conditionalFormatting>
  <conditionalFormatting sqref="H165:H168">
    <cfRule type="cellIs" dxfId="37" priority="10" operator="equal">
      <formula>"Correct"</formula>
    </cfRule>
  </conditionalFormatting>
  <conditionalFormatting sqref="H169:H172">
    <cfRule type="cellIs" dxfId="36" priority="9" operator="equal">
      <formula>"Correct"</formula>
    </cfRule>
  </conditionalFormatting>
  <conditionalFormatting sqref="H129:H132">
    <cfRule type="cellIs" dxfId="35" priority="8" operator="equal">
      <formula>"Correct"</formula>
    </cfRule>
  </conditionalFormatting>
  <conditionalFormatting sqref="H99">
    <cfRule type="cellIs" dxfId="34" priority="7" operator="equal">
      <formula>"Correct"</formula>
    </cfRule>
  </conditionalFormatting>
  <conditionalFormatting sqref="H133:H140">
    <cfRule type="cellIs" dxfId="33" priority="6" operator="equal">
      <formula>"Correct"</formula>
    </cfRule>
  </conditionalFormatting>
  <conditionalFormatting sqref="H141:H144">
    <cfRule type="cellIs" dxfId="32" priority="5" operator="equal">
      <formula>"Correct"</formula>
    </cfRule>
  </conditionalFormatting>
  <conditionalFormatting sqref="H103:H108">
    <cfRule type="cellIs" dxfId="31" priority="1" operator="equal">
      <formula>"Correct"</formula>
    </cfRule>
  </conditionalFormatting>
  <conditionalFormatting sqref="H117:H120">
    <cfRule type="cellIs" dxfId="30" priority="3" operator="equal">
      <formula>"Correct"</formula>
    </cfRule>
  </conditionalFormatting>
  <dataValidations count="3">
    <dataValidation type="list" allowBlank="1" showInputMessage="1" showErrorMessage="1" sqref="E13 E17 E21 E66 E30 E34 E38 E42 E46 E50 E54 E58 E109 E79 E113:E117 E75 E83 E87 E62 E91 E129 E95 E145 E141 E121 E125 E169 E157 E161 E165 E99 E149 E153 E133 E137">
      <formula1>"A,B,C"</formula1>
    </dataValidation>
    <dataValidation type="list" allowBlank="1" showInputMessage="1" showErrorMessage="1" sqref="E8 E25:E29 E70:E74">
      <formula1>"A,B,C,D"</formula1>
    </dataValidation>
    <dataValidation type="list" allowBlank="1" showInputMessage="1" showErrorMessage="1" sqref="E103:E108">
      <formula1>"A,B,C,D,E"</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H150"/>
  <sheetViews>
    <sheetView showGridLines="0" showRowColHeaders="0" zoomScale="90" zoomScaleNormal="90" workbookViewId="0">
      <selection activeCell="B14" sqref="B13:E20"/>
    </sheetView>
  </sheetViews>
  <sheetFormatPr defaultColWidth="9.28515625" defaultRowHeight="15" x14ac:dyDescent="0.25"/>
  <cols>
    <col min="1" max="1" width="3" style="139" customWidth="1"/>
    <col min="2" max="2" width="3.85546875" style="44" bestFit="1" customWidth="1"/>
    <col min="3" max="3" width="3.85546875" style="98" customWidth="1"/>
    <col min="4" max="4" width="97.85546875" style="76" customWidth="1"/>
    <col min="5" max="5" width="7.85546875" style="84" customWidth="1"/>
    <col min="6" max="7" width="7.85546875" style="76" hidden="1" customWidth="1"/>
    <col min="8" max="8" width="66.5703125" style="76" hidden="1" customWidth="1"/>
    <col min="9" max="16384" width="9.28515625" style="76"/>
  </cols>
  <sheetData>
    <row r="1" spans="1:8" ht="46.5" x14ac:dyDescent="0.25">
      <c r="D1" s="45" t="s">
        <v>465</v>
      </c>
    </row>
    <row r="3" spans="1:8" ht="15.75" thickBot="1" x14ac:dyDescent="0.3"/>
    <row r="4" spans="1:8" ht="19.5" thickBot="1" x14ac:dyDescent="0.3">
      <c r="B4" s="202" t="str">
        <f>IF('Engineer Self Assessment'!B8="Skilled","Please answer all questions from below.  If you don’t know the answer don’t guess, leave it blank.","As you have said you are not UG skilled you do not need to complete this section.")</f>
        <v>As you have said you are not UG skilled you do not need to complete this section.</v>
      </c>
      <c r="C4" s="203"/>
      <c r="D4" s="203"/>
      <c r="E4" s="204"/>
    </row>
    <row r="5" spans="1:8" ht="32.25" thickBot="1" x14ac:dyDescent="0.3">
      <c r="H5" s="66" t="str">
        <f>"Your score - "&amp;Scoresheet!D10&amp;"/"&amp;Scoresheet!U10</f>
        <v>Your score - /34</v>
      </c>
    </row>
    <row r="6" spans="1:8" x14ac:dyDescent="0.25">
      <c r="C6" s="99"/>
    </row>
    <row r="7" spans="1:8" ht="15.75" thickBot="1" x14ac:dyDescent="0.3"/>
    <row r="8" spans="1:8" x14ac:dyDescent="0.25">
      <c r="A8" s="139" t="s">
        <v>352</v>
      </c>
      <c r="B8" s="46">
        <v>1</v>
      </c>
      <c r="C8" s="100" t="s">
        <v>638</v>
      </c>
      <c r="D8" s="85"/>
      <c r="E8" s="191"/>
      <c r="F8" s="194" t="str">
        <f>IF(E8="","",IF(G8=E8,1,0))</f>
        <v/>
      </c>
      <c r="G8" s="194" t="s">
        <v>226</v>
      </c>
      <c r="H8" s="197" t="str">
        <f>IF(F8=1,"Correct","Incorrect:  When opening a box lid you must ensure that the area is properly guarded for pedestrians safety, after you have checked the condition of lid for damage" &amp;" you should then break the seal on the lid and then Gas test at the opening before removing the lid completly - Answer 'D'.")</f>
        <v>Incorrect:  When opening a box lid you must ensure that the area is properly guarded for pedestrians safety, after you have checked the condition of lid for damage you should then break the seal on the lid and then Gas test at the opening before removing the lid completly - Answer 'D'.</v>
      </c>
    </row>
    <row r="9" spans="1:8" x14ac:dyDescent="0.25">
      <c r="B9" s="47"/>
      <c r="C9" s="72" t="s">
        <v>43</v>
      </c>
      <c r="D9" s="69" t="s">
        <v>639</v>
      </c>
      <c r="E9" s="192"/>
      <c r="F9" s="195"/>
      <c r="G9" s="195"/>
      <c r="H9" s="198"/>
    </row>
    <row r="10" spans="1:8" x14ac:dyDescent="0.25">
      <c r="B10" s="47"/>
      <c r="C10" s="72" t="s">
        <v>44</v>
      </c>
      <c r="D10" s="69" t="s">
        <v>640</v>
      </c>
      <c r="E10" s="192"/>
      <c r="F10" s="195"/>
      <c r="G10" s="195"/>
      <c r="H10" s="198"/>
    </row>
    <row r="11" spans="1:8" x14ac:dyDescent="0.25">
      <c r="B11" s="47"/>
      <c r="C11" s="72" t="s">
        <v>45</v>
      </c>
      <c r="D11" s="69" t="s">
        <v>641</v>
      </c>
      <c r="E11" s="192"/>
      <c r="F11" s="195"/>
      <c r="G11" s="195"/>
      <c r="H11" s="198"/>
    </row>
    <row r="12" spans="1:8" ht="15.75" thickBot="1" x14ac:dyDescent="0.3">
      <c r="B12" s="47"/>
      <c r="C12" s="72" t="s">
        <v>226</v>
      </c>
      <c r="D12" s="86" t="s">
        <v>47</v>
      </c>
      <c r="E12" s="192"/>
      <c r="F12" s="195"/>
      <c r="G12" s="195"/>
      <c r="H12" s="214"/>
    </row>
    <row r="13" spans="1:8" x14ac:dyDescent="0.25">
      <c r="A13" s="139" t="s">
        <v>352</v>
      </c>
      <c r="B13" s="46">
        <v>2</v>
      </c>
      <c r="C13" s="101" t="s">
        <v>671</v>
      </c>
      <c r="D13" s="85"/>
      <c r="E13" s="191"/>
      <c r="F13" s="194" t="str">
        <f t="shared" ref="F13" si="0">IF(E13="","",IF(G13=E13,1,0))</f>
        <v/>
      </c>
      <c r="G13" s="194" t="s">
        <v>44</v>
      </c>
      <c r="H13" s="197" t="str">
        <f>IF(F13=1,"Correct","Incorrect:  If the eyehole on a JF4 is worn then you should use a Kiss tool on the worn opening to ensure the lifter has a proper fit and then carfeully open the lid as required.")</f>
        <v>Incorrect:  If the eyehole on a JF4 is worn then you should use a Kiss tool on the worn opening to ensure the lifter has a proper fit and then carfeully open the lid as required.</v>
      </c>
    </row>
    <row r="14" spans="1:8" x14ac:dyDescent="0.25">
      <c r="B14" s="47"/>
      <c r="C14" s="72" t="s">
        <v>43</v>
      </c>
      <c r="D14" s="69" t="s">
        <v>642</v>
      </c>
      <c r="E14" s="192"/>
      <c r="F14" s="195"/>
      <c r="G14" s="195"/>
      <c r="H14" s="198"/>
    </row>
    <row r="15" spans="1:8" x14ac:dyDescent="0.25">
      <c r="B15" s="47"/>
      <c r="C15" s="72" t="s">
        <v>44</v>
      </c>
      <c r="D15" s="86" t="s">
        <v>672</v>
      </c>
      <c r="E15" s="192"/>
      <c r="F15" s="195"/>
      <c r="G15" s="195"/>
      <c r="H15" s="198"/>
    </row>
    <row r="16" spans="1:8" ht="15.75" thickBot="1" x14ac:dyDescent="0.3">
      <c r="B16" s="48"/>
      <c r="C16" s="75" t="s">
        <v>45</v>
      </c>
      <c r="D16" s="88" t="s">
        <v>643</v>
      </c>
      <c r="E16" s="193"/>
      <c r="F16" s="195"/>
      <c r="G16" s="196"/>
      <c r="H16" s="214"/>
    </row>
    <row r="17" spans="1:8" x14ac:dyDescent="0.25">
      <c r="A17" s="139" t="s">
        <v>352</v>
      </c>
      <c r="B17" s="46">
        <v>3</v>
      </c>
      <c r="C17" s="102" t="s">
        <v>644</v>
      </c>
      <c r="D17" s="89"/>
      <c r="E17" s="191"/>
      <c r="F17" s="194" t="str">
        <f t="shared" ref="F17" si="1">IF(E17="","",IF(G17=E17,1,0))</f>
        <v/>
      </c>
      <c r="G17" s="194" t="s">
        <v>45</v>
      </c>
      <c r="H17" s="197" t="str">
        <f>IF(F17=1,"Correct","Incorrect:  You should only ever use a block of wood to free a metal lid as this will prevent any sparks while striking the lid.")</f>
        <v>Incorrect:  You should only ever use a block of wood to free a metal lid as this will prevent any sparks while striking the lid.</v>
      </c>
    </row>
    <row r="18" spans="1:8" x14ac:dyDescent="0.25">
      <c r="B18" s="47"/>
      <c r="C18" s="81" t="s">
        <v>43</v>
      </c>
      <c r="D18" s="90" t="s">
        <v>645</v>
      </c>
      <c r="E18" s="192"/>
      <c r="F18" s="195"/>
      <c r="G18" s="195"/>
      <c r="H18" s="198"/>
    </row>
    <row r="19" spans="1:8" x14ac:dyDescent="0.25">
      <c r="B19" s="47"/>
      <c r="C19" s="82" t="s">
        <v>44</v>
      </c>
      <c r="D19" s="91" t="s">
        <v>646</v>
      </c>
      <c r="E19" s="192"/>
      <c r="F19" s="195"/>
      <c r="G19" s="195"/>
      <c r="H19" s="198"/>
    </row>
    <row r="20" spans="1:8" ht="15.75" thickBot="1" x14ac:dyDescent="0.3">
      <c r="B20" s="48"/>
      <c r="C20" s="82" t="s">
        <v>45</v>
      </c>
      <c r="D20" s="91" t="s">
        <v>647</v>
      </c>
      <c r="E20" s="193"/>
      <c r="F20" s="195"/>
      <c r="G20" s="196"/>
      <c r="H20" s="214"/>
    </row>
    <row r="21" spans="1:8" x14ac:dyDescent="0.25">
      <c r="A21" s="139" t="s">
        <v>352</v>
      </c>
      <c r="B21" s="46">
        <v>4</v>
      </c>
      <c r="C21" s="101" t="s">
        <v>648</v>
      </c>
      <c r="D21" s="85"/>
      <c r="E21" s="191"/>
      <c r="F21" s="194" t="str">
        <f t="shared" ref="F21" si="2">IF(E21="","",IF(G21=E21,1,0))</f>
        <v/>
      </c>
      <c r="G21" s="194" t="s">
        <v>44</v>
      </c>
      <c r="H21" s="197" t="str">
        <f>IF(F21=1,"Correct","Incorrect:  If you lifters are defective in any way you must have them inspected properly by your EYP tester and should not use them until this time.")</f>
        <v>Incorrect:  If you lifters are defective in any way you must have them inspected properly by your EYP tester and should not use them until this time.</v>
      </c>
    </row>
    <row r="22" spans="1:8" x14ac:dyDescent="0.25">
      <c r="B22" s="47"/>
      <c r="C22" s="72" t="s">
        <v>43</v>
      </c>
      <c r="D22" s="69" t="s">
        <v>649</v>
      </c>
      <c r="E22" s="192"/>
      <c r="F22" s="195"/>
      <c r="G22" s="195"/>
      <c r="H22" s="198"/>
    </row>
    <row r="23" spans="1:8" x14ac:dyDescent="0.25">
      <c r="B23" s="47"/>
      <c r="C23" s="72" t="s">
        <v>44</v>
      </c>
      <c r="D23" s="86" t="s">
        <v>650</v>
      </c>
      <c r="E23" s="192"/>
      <c r="F23" s="195"/>
      <c r="G23" s="195"/>
      <c r="H23" s="198"/>
    </row>
    <row r="24" spans="1:8" ht="15.75" thickBot="1" x14ac:dyDescent="0.3">
      <c r="B24" s="48"/>
      <c r="C24" s="75" t="s">
        <v>45</v>
      </c>
      <c r="D24" s="88" t="s">
        <v>651</v>
      </c>
      <c r="E24" s="193"/>
      <c r="F24" s="195"/>
      <c r="G24" s="196"/>
      <c r="H24" s="214"/>
    </row>
    <row r="25" spans="1:8" x14ac:dyDescent="0.25">
      <c r="A25" s="139" t="s">
        <v>352</v>
      </c>
      <c r="B25" s="46">
        <v>5</v>
      </c>
      <c r="C25" s="101" t="s">
        <v>652</v>
      </c>
      <c r="D25" s="85"/>
      <c r="E25" s="191"/>
      <c r="F25" s="194" t="str">
        <f t="shared" ref="F25" si="3">IF(E25="","",IF(G25=E25,1,0))</f>
        <v/>
      </c>
      <c r="G25" s="194" t="s">
        <v>44</v>
      </c>
      <c r="H25" s="197" t="str">
        <f>IF(F25=1,"Correct","Incorrect:  You MUST gas test every UG structure before removing the lid, this is mandatory no matter how long you plan to be in the box.")</f>
        <v>Incorrect:  You MUST gas test every UG structure before removing the lid, this is mandatory no matter how long you plan to be in the box.</v>
      </c>
    </row>
    <row r="26" spans="1:8" x14ac:dyDescent="0.25">
      <c r="B26" s="47"/>
      <c r="C26" s="72" t="s">
        <v>43</v>
      </c>
      <c r="D26" s="86" t="s">
        <v>653</v>
      </c>
      <c r="E26" s="192"/>
      <c r="F26" s="195"/>
      <c r="G26" s="195"/>
      <c r="H26" s="198"/>
    </row>
    <row r="27" spans="1:8" x14ac:dyDescent="0.25">
      <c r="B27" s="47"/>
      <c r="C27" s="72" t="s">
        <v>44</v>
      </c>
      <c r="D27" s="91" t="s">
        <v>654</v>
      </c>
      <c r="E27" s="192"/>
      <c r="F27" s="195"/>
      <c r="G27" s="195"/>
      <c r="H27" s="198"/>
    </row>
    <row r="28" spans="1:8" ht="15.75" thickBot="1" x14ac:dyDescent="0.3">
      <c r="B28" s="48"/>
      <c r="C28" s="75" t="s">
        <v>45</v>
      </c>
      <c r="D28" s="88" t="s">
        <v>655</v>
      </c>
      <c r="E28" s="193"/>
      <c r="F28" s="195"/>
      <c r="G28" s="196"/>
      <c r="H28" s="214"/>
    </row>
    <row r="29" spans="1:8" x14ac:dyDescent="0.25">
      <c r="A29" s="139" t="s">
        <v>355</v>
      </c>
      <c r="B29" s="46">
        <v>6</v>
      </c>
      <c r="C29" s="101" t="s">
        <v>545</v>
      </c>
      <c r="D29" s="85"/>
      <c r="E29" s="191"/>
      <c r="F29" s="194" t="str">
        <f t="shared" ref="F29" si="4">IF(E29="","",IF(G29=E29,1,0))</f>
        <v/>
      </c>
      <c r="G29" s="194" t="s">
        <v>43</v>
      </c>
      <c r="H29" s="197" t="str">
        <f>IF(F29=1,"Correct","Incorrect:  You can use an inline closure as a pedcap type closure as long as all the ports and inserts are properly sealed.")</f>
        <v>Incorrect:  You can use an inline closure as a pedcap type closure as long as all the ports and inserts are properly sealed.</v>
      </c>
    </row>
    <row r="30" spans="1:8" x14ac:dyDescent="0.25">
      <c r="B30" s="47"/>
      <c r="C30" s="72" t="s">
        <v>43</v>
      </c>
      <c r="D30" s="86" t="s">
        <v>547</v>
      </c>
      <c r="E30" s="192"/>
      <c r="F30" s="195"/>
      <c r="G30" s="195"/>
      <c r="H30" s="198"/>
    </row>
    <row r="31" spans="1:8" x14ac:dyDescent="0.25">
      <c r="B31" s="47"/>
      <c r="C31" s="72" t="s">
        <v>44</v>
      </c>
      <c r="D31" s="69" t="s">
        <v>546</v>
      </c>
      <c r="E31" s="192"/>
      <c r="F31" s="195"/>
      <c r="G31" s="195"/>
      <c r="H31" s="198"/>
    </row>
    <row r="32" spans="1:8" ht="15.75" thickBot="1" x14ac:dyDescent="0.3">
      <c r="B32" s="48"/>
      <c r="C32" s="75" t="s">
        <v>45</v>
      </c>
      <c r="D32" s="88" t="s">
        <v>548</v>
      </c>
      <c r="E32" s="193"/>
      <c r="F32" s="195"/>
      <c r="G32" s="196"/>
      <c r="H32" s="214"/>
    </row>
    <row r="33" spans="1:8" x14ac:dyDescent="0.25">
      <c r="A33" s="139" t="s">
        <v>355</v>
      </c>
      <c r="B33" s="46">
        <v>7</v>
      </c>
      <c r="C33" s="101" t="s">
        <v>549</v>
      </c>
      <c r="D33" s="85"/>
      <c r="E33" s="191"/>
      <c r="F33" s="194" t="str">
        <f t="shared" ref="F33" si="5">IF(E33="","",IF(G33=E33,1,0))</f>
        <v/>
      </c>
      <c r="G33" s="194" t="s">
        <v>43</v>
      </c>
      <c r="H33" s="197" t="str">
        <f>IF(F33=1,"Correct","Incorrect:  If the joint you are working on has less than 50 pairs connected then you must remove all of the blue beans using crimps 11A (Non Break), if there are more than 50 pairs connected then you can raise an A1024.")</f>
        <v>Incorrect:  If the joint you are working on has less than 50 pairs connected then you must remove all of the blue beans using crimps 11A (Non Break), if there are more than 50 pairs connected then you can raise an A1024.</v>
      </c>
    </row>
    <row r="34" spans="1:8" ht="30" x14ac:dyDescent="0.25">
      <c r="B34" s="47"/>
      <c r="C34" s="72" t="s">
        <v>43</v>
      </c>
      <c r="D34" s="95" t="s">
        <v>550</v>
      </c>
      <c r="E34" s="192"/>
      <c r="F34" s="195"/>
      <c r="G34" s="195"/>
      <c r="H34" s="198"/>
    </row>
    <row r="35" spans="1:8" x14ac:dyDescent="0.25">
      <c r="B35" s="47"/>
      <c r="C35" s="72" t="s">
        <v>44</v>
      </c>
      <c r="D35" s="86" t="s">
        <v>551</v>
      </c>
      <c r="E35" s="192"/>
      <c r="F35" s="195"/>
      <c r="G35" s="195"/>
      <c r="H35" s="198"/>
    </row>
    <row r="36" spans="1:8" ht="30.75" thickBot="1" x14ac:dyDescent="0.3">
      <c r="B36" s="48"/>
      <c r="C36" s="75" t="s">
        <v>45</v>
      </c>
      <c r="D36" s="103" t="s">
        <v>552</v>
      </c>
      <c r="E36" s="193"/>
      <c r="F36" s="195"/>
      <c r="G36" s="196"/>
      <c r="H36" s="214"/>
    </row>
    <row r="37" spans="1:8" ht="27.95" customHeight="1" x14ac:dyDescent="0.25">
      <c r="A37" s="139" t="s">
        <v>355</v>
      </c>
      <c r="B37" s="46">
        <v>8</v>
      </c>
      <c r="C37" s="215" t="s">
        <v>553</v>
      </c>
      <c r="D37" s="216"/>
      <c r="E37" s="191"/>
      <c r="F37" s="194" t="str">
        <f t="shared" ref="F37" si="6">IF(E37="","",IF(G37=E37,1,0))</f>
        <v/>
      </c>
      <c r="G37" s="194" t="s">
        <v>45</v>
      </c>
      <c r="H37" s="197" t="str">
        <f>IF(F37=1,"Correct","Incorrect:  The glue block must be fitted inside the closure and the seal for the closure should be around clean cable giving a good seal.")</f>
        <v>Incorrect:  The glue block must be fitted inside the closure and the seal for the closure should be around clean cable giving a good seal.</v>
      </c>
    </row>
    <row r="38" spans="1:8" x14ac:dyDescent="0.25">
      <c r="B38" s="47"/>
      <c r="C38" s="72" t="s">
        <v>43</v>
      </c>
      <c r="D38" s="69" t="s">
        <v>555</v>
      </c>
      <c r="E38" s="192"/>
      <c r="F38" s="195"/>
      <c r="G38" s="195"/>
      <c r="H38" s="198"/>
    </row>
    <row r="39" spans="1:8" x14ac:dyDescent="0.25">
      <c r="B39" s="47"/>
      <c r="C39" s="72" t="s">
        <v>44</v>
      </c>
      <c r="D39" s="86" t="s">
        <v>556</v>
      </c>
      <c r="E39" s="192"/>
      <c r="F39" s="195"/>
      <c r="G39" s="195"/>
      <c r="H39" s="198"/>
    </row>
    <row r="40" spans="1:8" ht="15.75" thickBot="1" x14ac:dyDescent="0.3">
      <c r="B40" s="48"/>
      <c r="C40" s="75" t="s">
        <v>45</v>
      </c>
      <c r="D40" s="88" t="s">
        <v>554</v>
      </c>
      <c r="E40" s="193"/>
      <c r="F40" s="195"/>
      <c r="G40" s="196"/>
      <c r="H40" s="214"/>
    </row>
    <row r="41" spans="1:8" x14ac:dyDescent="0.25">
      <c r="A41" s="139" t="s">
        <v>355</v>
      </c>
      <c r="B41" s="46">
        <v>9</v>
      </c>
      <c r="C41" s="101" t="s">
        <v>557</v>
      </c>
      <c r="D41" s="85"/>
      <c r="E41" s="191"/>
      <c r="F41" s="194" t="str">
        <f t="shared" ref="F41" si="7">IF(E41="","",IF(G41=E41,1,0))</f>
        <v/>
      </c>
      <c r="G41" s="194" t="s">
        <v>44</v>
      </c>
      <c r="H41" s="197" t="str">
        <f>IF(F41=1,"Correct","Incorrect:  The remains of an old closure can be fitted inside a new mechanical closure so long as you can fit the remains of the old closure inside the joint without obstructing the joint or damaging the pairs.")</f>
        <v>Incorrect:  The remains of an old closure can be fitted inside a new mechanical closure so long as you can fit the remains of the old closure inside the joint without obstructing the joint or damaging the pairs.</v>
      </c>
    </row>
    <row r="42" spans="1:8" x14ac:dyDescent="0.25">
      <c r="B42" s="47"/>
      <c r="C42" s="72" t="s">
        <v>43</v>
      </c>
      <c r="D42" s="69" t="s">
        <v>559</v>
      </c>
      <c r="E42" s="192"/>
      <c r="F42" s="195"/>
      <c r="G42" s="195"/>
      <c r="H42" s="198"/>
    </row>
    <row r="43" spans="1:8" ht="30" x14ac:dyDescent="0.25">
      <c r="B43" s="47"/>
      <c r="C43" s="72" t="s">
        <v>44</v>
      </c>
      <c r="D43" s="93" t="s">
        <v>558</v>
      </c>
      <c r="E43" s="192"/>
      <c r="F43" s="195"/>
      <c r="G43" s="195"/>
      <c r="H43" s="198"/>
    </row>
    <row r="44" spans="1:8" ht="15.75" thickBot="1" x14ac:dyDescent="0.3">
      <c r="B44" s="48"/>
      <c r="C44" s="75" t="s">
        <v>45</v>
      </c>
      <c r="D44" s="88" t="s">
        <v>560</v>
      </c>
      <c r="E44" s="193"/>
      <c r="F44" s="195"/>
      <c r="G44" s="196"/>
      <c r="H44" s="214"/>
    </row>
    <row r="45" spans="1:8" x14ac:dyDescent="0.25">
      <c r="A45" s="139" t="s">
        <v>355</v>
      </c>
      <c r="B45" s="46">
        <v>10</v>
      </c>
      <c r="C45" s="101" t="s">
        <v>561</v>
      </c>
      <c r="D45" s="85"/>
      <c r="E45" s="191"/>
      <c r="F45" s="194" t="str">
        <f t="shared" ref="F45" si="8">IF(E45="","",IF(G45=E45,1,0))</f>
        <v/>
      </c>
      <c r="G45" s="194" t="s">
        <v>45</v>
      </c>
      <c r="H45" s="197" t="str">
        <f>IF(F45=1,"Correct","Incorrect:  Internal wire can be taken into a mechanical closure but only if used in an internal situation and is not exposed to external elements.")</f>
        <v>Incorrect:  Internal wire can be taken into a mechanical closure but only if used in an internal situation and is not exposed to external elements.</v>
      </c>
    </row>
    <row r="46" spans="1:8" x14ac:dyDescent="0.25">
      <c r="B46" s="47"/>
      <c r="C46" s="72" t="s">
        <v>43</v>
      </c>
      <c r="D46" s="69" t="s">
        <v>58</v>
      </c>
      <c r="E46" s="192"/>
      <c r="F46" s="195"/>
      <c r="G46" s="195"/>
      <c r="H46" s="198"/>
    </row>
    <row r="47" spans="1:8" x14ac:dyDescent="0.25">
      <c r="B47" s="47"/>
      <c r="C47" s="72" t="s">
        <v>44</v>
      </c>
      <c r="D47" s="86" t="s">
        <v>59</v>
      </c>
      <c r="E47" s="192"/>
      <c r="F47" s="195"/>
      <c r="G47" s="195"/>
      <c r="H47" s="198"/>
    </row>
    <row r="48" spans="1:8" ht="15.75" thickBot="1" x14ac:dyDescent="0.3">
      <c r="B48" s="48"/>
      <c r="C48" s="75" t="s">
        <v>45</v>
      </c>
      <c r="D48" s="88" t="s">
        <v>562</v>
      </c>
      <c r="E48" s="193"/>
      <c r="F48" s="195"/>
      <c r="G48" s="196"/>
      <c r="H48" s="214"/>
    </row>
    <row r="49" spans="1:8" x14ac:dyDescent="0.25">
      <c r="A49" s="139" t="s">
        <v>355</v>
      </c>
      <c r="B49" s="46">
        <v>11</v>
      </c>
      <c r="C49" s="101" t="s">
        <v>763</v>
      </c>
      <c r="D49" s="85"/>
      <c r="E49" s="191"/>
      <c r="F49" s="194" t="str">
        <f t="shared" ref="F49" si="9">IF(E49="","",IF(G49=E49,1,0))</f>
        <v/>
      </c>
      <c r="G49" s="194" t="s">
        <v>44</v>
      </c>
      <c r="H49" s="197" t="str">
        <f>IF(F49=1,"Correct","Incorrect:  You must replace the closure with a new clip style closure.")</f>
        <v>Incorrect:  You must replace the closure with a new clip style closure.</v>
      </c>
    </row>
    <row r="50" spans="1:8" x14ac:dyDescent="0.25">
      <c r="B50" s="47"/>
      <c r="C50" s="72" t="s">
        <v>43</v>
      </c>
      <c r="D50" s="69" t="s">
        <v>563</v>
      </c>
      <c r="E50" s="192"/>
      <c r="F50" s="195"/>
      <c r="G50" s="195"/>
      <c r="H50" s="198"/>
    </row>
    <row r="51" spans="1:8" x14ac:dyDescent="0.25">
      <c r="B51" s="47"/>
      <c r="C51" s="72" t="s">
        <v>44</v>
      </c>
      <c r="D51" s="86" t="s">
        <v>564</v>
      </c>
      <c r="E51" s="192"/>
      <c r="F51" s="195"/>
      <c r="G51" s="195"/>
      <c r="H51" s="198"/>
    </row>
    <row r="52" spans="1:8" ht="15.75" thickBot="1" x14ac:dyDescent="0.3">
      <c r="B52" s="48"/>
      <c r="C52" s="75" t="s">
        <v>45</v>
      </c>
      <c r="D52" s="88" t="s">
        <v>565</v>
      </c>
      <c r="E52" s="193"/>
      <c r="F52" s="195"/>
      <c r="G52" s="196"/>
      <c r="H52" s="214"/>
    </row>
    <row r="53" spans="1:8" ht="15" customHeight="1" x14ac:dyDescent="0.25">
      <c r="A53" s="139" t="s">
        <v>355</v>
      </c>
      <c r="B53" s="46">
        <v>12</v>
      </c>
      <c r="C53" s="215" t="s">
        <v>566</v>
      </c>
      <c r="D53" s="216"/>
      <c r="E53" s="191"/>
      <c r="F53" s="194" t="str">
        <f t="shared" ref="F53" si="10">IF(E53="","",IF(G53=E53,1,0))</f>
        <v/>
      </c>
      <c r="G53" s="194" t="s">
        <v>45</v>
      </c>
      <c r="H53" s="197" t="str">
        <f>IF(F53=1,"Correct","Incorrect:  You can only fit a temporary closure where it's impossible to fit a permanent closure.")</f>
        <v>Incorrect:  You can only fit a temporary closure where it's impossible to fit a permanent closure.</v>
      </c>
    </row>
    <row r="54" spans="1:8" x14ac:dyDescent="0.25">
      <c r="B54" s="47"/>
      <c r="C54" s="72" t="s">
        <v>43</v>
      </c>
      <c r="D54" s="69" t="s">
        <v>567</v>
      </c>
      <c r="E54" s="192"/>
      <c r="F54" s="195"/>
      <c r="G54" s="195"/>
      <c r="H54" s="198"/>
    </row>
    <row r="55" spans="1:8" x14ac:dyDescent="0.25">
      <c r="B55" s="47"/>
      <c r="C55" s="72" t="s">
        <v>44</v>
      </c>
      <c r="D55" s="86" t="s">
        <v>568</v>
      </c>
      <c r="E55" s="192"/>
      <c r="F55" s="195"/>
      <c r="G55" s="195"/>
      <c r="H55" s="198"/>
    </row>
    <row r="56" spans="1:8" ht="15.75" thickBot="1" x14ac:dyDescent="0.3">
      <c r="B56" s="48"/>
      <c r="C56" s="75" t="s">
        <v>45</v>
      </c>
      <c r="D56" s="88" t="s">
        <v>569</v>
      </c>
      <c r="E56" s="193"/>
      <c r="F56" s="195"/>
      <c r="G56" s="196"/>
      <c r="H56" s="214"/>
    </row>
    <row r="57" spans="1:8" x14ac:dyDescent="0.25">
      <c r="A57" s="139" t="s">
        <v>355</v>
      </c>
      <c r="B57" s="46">
        <v>13</v>
      </c>
      <c r="C57" s="101" t="s">
        <v>570</v>
      </c>
      <c r="D57" s="85"/>
      <c r="E57" s="191"/>
      <c r="F57" s="194" t="str">
        <f t="shared" ref="F57" si="11">IF(E57="","",IF(G57=E57,1,0))</f>
        <v/>
      </c>
      <c r="G57" s="194" t="s">
        <v>44</v>
      </c>
      <c r="H57" s="197" t="str">
        <f>IF(F57=1,"Correct","Incorrect:  The only time you can leave a joint open is where it is impossible to fit a permanent or temporary closure and you seek advice from your OM or a coach before raising at PAT fault.")</f>
        <v>Incorrect:  The only time you can leave a joint open is where it is impossible to fit a permanent or temporary closure and you seek advice from your OM or a coach before raising at PAT fault.</v>
      </c>
    </row>
    <row r="58" spans="1:8" x14ac:dyDescent="0.25">
      <c r="B58" s="47"/>
      <c r="C58" s="72" t="s">
        <v>43</v>
      </c>
      <c r="D58" s="69" t="s">
        <v>571</v>
      </c>
      <c r="E58" s="192"/>
      <c r="F58" s="195"/>
      <c r="G58" s="195"/>
      <c r="H58" s="198"/>
    </row>
    <row r="59" spans="1:8" ht="30" customHeight="1" x14ac:dyDescent="0.25">
      <c r="B59" s="47"/>
      <c r="C59" s="72" t="s">
        <v>44</v>
      </c>
      <c r="D59" s="93" t="s">
        <v>572</v>
      </c>
      <c r="E59" s="192"/>
      <c r="F59" s="195"/>
      <c r="G59" s="195"/>
      <c r="H59" s="198"/>
    </row>
    <row r="60" spans="1:8" ht="15.75" thickBot="1" x14ac:dyDescent="0.3">
      <c r="B60" s="48"/>
      <c r="C60" s="75" t="s">
        <v>45</v>
      </c>
      <c r="D60" s="88" t="s">
        <v>573</v>
      </c>
      <c r="E60" s="193"/>
      <c r="F60" s="195"/>
      <c r="G60" s="196"/>
      <c r="H60" s="214"/>
    </row>
    <row r="61" spans="1:8" x14ac:dyDescent="0.25">
      <c r="A61" s="139" t="s">
        <v>355</v>
      </c>
      <c r="B61" s="46">
        <v>14</v>
      </c>
      <c r="C61" s="101" t="s">
        <v>574</v>
      </c>
      <c r="D61" s="85"/>
      <c r="E61" s="191"/>
      <c r="F61" s="194" t="str">
        <f t="shared" ref="F61" si="12">IF(E61="","",IF(G61=E61,1,0))</f>
        <v/>
      </c>
      <c r="G61" s="194" t="s">
        <v>44</v>
      </c>
      <c r="H61" s="197" t="str">
        <f>IF(F61=1,"Correct","Incorrect:  You should first contact the control for permission and time to repair the joint, if no time submit an A1024.")</f>
        <v>Incorrect:  You should first contact the control for permission and time to repair the joint, if no time submit an A1024.</v>
      </c>
    </row>
    <row r="62" spans="1:8" x14ac:dyDescent="0.25">
      <c r="B62" s="47"/>
      <c r="C62" s="72" t="s">
        <v>43</v>
      </c>
      <c r="D62" s="69" t="s">
        <v>575</v>
      </c>
      <c r="E62" s="192"/>
      <c r="F62" s="195"/>
      <c r="G62" s="195"/>
      <c r="H62" s="198"/>
    </row>
    <row r="63" spans="1:8" x14ac:dyDescent="0.25">
      <c r="B63" s="47"/>
      <c r="C63" s="72" t="s">
        <v>44</v>
      </c>
      <c r="D63" s="86" t="s">
        <v>576</v>
      </c>
      <c r="E63" s="192"/>
      <c r="F63" s="195"/>
      <c r="G63" s="195"/>
      <c r="H63" s="198"/>
    </row>
    <row r="64" spans="1:8" ht="15.75" thickBot="1" x14ac:dyDescent="0.3">
      <c r="B64" s="48"/>
      <c r="C64" s="75" t="s">
        <v>45</v>
      </c>
      <c r="D64" s="88" t="s">
        <v>577</v>
      </c>
      <c r="E64" s="193"/>
      <c r="F64" s="195"/>
      <c r="G64" s="196"/>
      <c r="H64" s="214"/>
    </row>
    <row r="65" spans="1:8" ht="27.95" customHeight="1" x14ac:dyDescent="0.25">
      <c r="A65" s="139" t="s">
        <v>355</v>
      </c>
      <c r="B65" s="46">
        <v>15</v>
      </c>
      <c r="C65" s="215" t="s">
        <v>578</v>
      </c>
      <c r="D65" s="216"/>
      <c r="E65" s="191"/>
      <c r="F65" s="194" t="str">
        <f t="shared" ref="F65" si="13">IF(E65="","",IF(G65=E65,1,0))</f>
        <v/>
      </c>
      <c r="G65" s="194" t="s">
        <v>43</v>
      </c>
      <c r="H65" s="197" t="str">
        <f>IF(F65=1,"Correct","Incorrect:  You should remake the joint using 'no break method' and close joint to quality standards.")</f>
        <v>Incorrect:  You should remake the joint using 'no break method' and close joint to quality standards.</v>
      </c>
    </row>
    <row r="66" spans="1:8" x14ac:dyDescent="0.25">
      <c r="B66" s="47"/>
      <c r="C66" s="72" t="s">
        <v>43</v>
      </c>
      <c r="D66" s="69" t="s">
        <v>673</v>
      </c>
      <c r="E66" s="192"/>
      <c r="F66" s="195"/>
      <c r="G66" s="195"/>
      <c r="H66" s="198"/>
    </row>
    <row r="67" spans="1:8" x14ac:dyDescent="0.25">
      <c r="B67" s="47"/>
      <c r="C67" s="72" t="s">
        <v>44</v>
      </c>
      <c r="D67" s="86" t="s">
        <v>580</v>
      </c>
      <c r="E67" s="192"/>
      <c r="F67" s="195"/>
      <c r="G67" s="195"/>
      <c r="H67" s="198"/>
    </row>
    <row r="68" spans="1:8" ht="15.75" thickBot="1" x14ac:dyDescent="0.3">
      <c r="B68" s="48"/>
      <c r="C68" s="75" t="s">
        <v>45</v>
      </c>
      <c r="D68" s="88" t="s">
        <v>581</v>
      </c>
      <c r="E68" s="193"/>
      <c r="F68" s="195"/>
      <c r="G68" s="196"/>
      <c r="H68" s="214"/>
    </row>
    <row r="69" spans="1:8" x14ac:dyDescent="0.25">
      <c r="A69" s="139" t="s">
        <v>355</v>
      </c>
      <c r="B69" s="46">
        <v>16</v>
      </c>
      <c r="C69" s="101" t="s">
        <v>582</v>
      </c>
      <c r="D69" s="85"/>
      <c r="E69" s="191"/>
      <c r="F69" s="194" t="str">
        <f t="shared" ref="F69" si="14">IF(E69="","",IF(G69=E69,1,0))</f>
        <v/>
      </c>
      <c r="G69" s="194" t="s">
        <v>43</v>
      </c>
      <c r="H69" s="197" t="str">
        <f>IF(F69=1,"Correct","Incorrect:  You should remake or re-crimp the affected pairs using Crimps 11a and then close to the correct quality standards, blue beans should not be left in a joint.")</f>
        <v>Incorrect:  You should remake or re-crimp the affected pairs using Crimps 11a and then close to the correct quality standards, blue beans should not be left in a joint.</v>
      </c>
    </row>
    <row r="70" spans="1:8" x14ac:dyDescent="0.25">
      <c r="B70" s="47"/>
      <c r="C70" s="72" t="s">
        <v>43</v>
      </c>
      <c r="D70" s="69" t="s">
        <v>583</v>
      </c>
      <c r="E70" s="192"/>
      <c r="F70" s="195"/>
      <c r="G70" s="195"/>
      <c r="H70" s="198"/>
    </row>
    <row r="71" spans="1:8" x14ac:dyDescent="0.25">
      <c r="B71" s="47"/>
      <c r="C71" s="72" t="s">
        <v>44</v>
      </c>
      <c r="D71" s="86" t="s">
        <v>584</v>
      </c>
      <c r="E71" s="192"/>
      <c r="F71" s="195"/>
      <c r="G71" s="195"/>
      <c r="H71" s="198"/>
    </row>
    <row r="72" spans="1:8" ht="15.75" thickBot="1" x14ac:dyDescent="0.3">
      <c r="B72" s="48"/>
      <c r="C72" s="75" t="s">
        <v>45</v>
      </c>
      <c r="D72" s="88" t="s">
        <v>585</v>
      </c>
      <c r="E72" s="193"/>
      <c r="F72" s="195"/>
      <c r="G72" s="196"/>
      <c r="H72" s="214"/>
    </row>
    <row r="73" spans="1:8" ht="27.95" customHeight="1" x14ac:dyDescent="0.25">
      <c r="A73" s="139" t="s">
        <v>355</v>
      </c>
      <c r="B73" s="46">
        <v>17</v>
      </c>
      <c r="C73" s="215" t="s">
        <v>586</v>
      </c>
      <c r="D73" s="216"/>
      <c r="E73" s="191"/>
      <c r="F73" s="194" t="str">
        <f t="shared" ref="F73" si="15">IF(E73="","",IF(G73=E73,1,0))</f>
        <v/>
      </c>
      <c r="G73" s="194" t="s">
        <v>226</v>
      </c>
      <c r="H73" s="197" t="str">
        <f>IF(F73=1,"Correct","Incorrect:  If possible close it to the quality standards using closure sealant 10b to top up the existing old type resin and if not possible to seal then you should fit a new approved closure.  Answer - D")</f>
        <v>Incorrect:  If possible close it to the quality standards using closure sealant 10b to top up the existing old type resin and if not possible to seal then you should fit a new approved closure.  Answer - D</v>
      </c>
    </row>
    <row r="74" spans="1:8" x14ac:dyDescent="0.25">
      <c r="B74" s="47"/>
      <c r="C74" s="72" t="s">
        <v>43</v>
      </c>
      <c r="D74" s="69" t="s">
        <v>587</v>
      </c>
      <c r="E74" s="192"/>
      <c r="F74" s="195"/>
      <c r="G74" s="195"/>
      <c r="H74" s="198"/>
    </row>
    <row r="75" spans="1:8" x14ac:dyDescent="0.25">
      <c r="B75" s="47"/>
      <c r="C75" s="72" t="s">
        <v>44</v>
      </c>
      <c r="D75" s="86" t="s">
        <v>588</v>
      </c>
      <c r="E75" s="192"/>
      <c r="F75" s="195"/>
      <c r="G75" s="195"/>
      <c r="H75" s="198"/>
    </row>
    <row r="76" spans="1:8" x14ac:dyDescent="0.25">
      <c r="B76" s="47"/>
      <c r="C76" s="72" t="s">
        <v>45</v>
      </c>
      <c r="D76" s="86" t="s">
        <v>589</v>
      </c>
      <c r="E76" s="192"/>
      <c r="F76" s="195"/>
      <c r="G76" s="195"/>
      <c r="H76" s="198"/>
    </row>
    <row r="77" spans="1:8" ht="15.75" thickBot="1" x14ac:dyDescent="0.3">
      <c r="B77" s="48"/>
      <c r="C77" s="75" t="s">
        <v>226</v>
      </c>
      <c r="D77" s="88" t="s">
        <v>590</v>
      </c>
      <c r="E77" s="193"/>
      <c r="F77" s="195"/>
      <c r="G77" s="196"/>
      <c r="H77" s="214"/>
    </row>
    <row r="78" spans="1:8" ht="27.95" customHeight="1" x14ac:dyDescent="0.25">
      <c r="A78" s="139" t="s">
        <v>355</v>
      </c>
      <c r="B78" s="46">
        <v>18</v>
      </c>
      <c r="C78" s="215" t="s">
        <v>764</v>
      </c>
      <c r="D78" s="216"/>
      <c r="E78" s="191"/>
      <c r="F78" s="194" t="str">
        <f t="shared" ref="F78" si="16">IF(E78="","",IF(G78=E78,1,0))</f>
        <v/>
      </c>
      <c r="G78" s="194" t="s">
        <v>44</v>
      </c>
      <c r="H78" s="197" t="str">
        <f>IF(F78=1,"Correct","Incorrect:  You should only use a pair change as a fix option when the fault is proved into a burried section of cable, judgement should be used when doing this as the best option is always to repair the fault.")</f>
        <v>Incorrect:  You should only use a pair change as a fix option when the fault is proved into a burried section of cable, judgement should be used when doing this as the best option is always to repair the fault.</v>
      </c>
    </row>
    <row r="79" spans="1:8" x14ac:dyDescent="0.25">
      <c r="B79" s="47"/>
      <c r="C79" s="72" t="s">
        <v>43</v>
      </c>
      <c r="D79" s="69" t="s">
        <v>591</v>
      </c>
      <c r="E79" s="192"/>
      <c r="F79" s="195"/>
      <c r="G79" s="195"/>
      <c r="H79" s="198"/>
    </row>
    <row r="80" spans="1:8" x14ac:dyDescent="0.25">
      <c r="B80" s="47"/>
      <c r="C80" s="72" t="s">
        <v>44</v>
      </c>
      <c r="D80" s="86" t="s">
        <v>765</v>
      </c>
      <c r="E80" s="192"/>
      <c r="F80" s="195"/>
      <c r="G80" s="195"/>
      <c r="H80" s="198"/>
    </row>
    <row r="81" spans="1:8" ht="15.75" thickBot="1" x14ac:dyDescent="0.3">
      <c r="B81" s="48"/>
      <c r="C81" s="75" t="s">
        <v>45</v>
      </c>
      <c r="D81" s="88" t="s">
        <v>592</v>
      </c>
      <c r="E81" s="193"/>
      <c r="F81" s="195"/>
      <c r="G81" s="196"/>
      <c r="H81" s="214"/>
    </row>
    <row r="82" spans="1:8" x14ac:dyDescent="0.25">
      <c r="A82" s="139" t="s">
        <v>355</v>
      </c>
      <c r="B82" s="46">
        <v>19</v>
      </c>
      <c r="C82" s="101" t="s">
        <v>593</v>
      </c>
      <c r="D82" s="85"/>
      <c r="E82" s="191"/>
      <c r="F82" s="194" t="str">
        <f t="shared" ref="F82" si="17">IF(E82="","",IF(G82=E82,1,0))</f>
        <v/>
      </c>
      <c r="G82" s="194" t="s">
        <v>43</v>
      </c>
      <c r="H82" s="197" t="str">
        <f>IF(F82=1,"Correct","Incorrect:  You should fit a sealing cap appropriate to the cable size, seal by heat or with dexbond.")</f>
        <v>Incorrect:  You should fit a sealing cap appropriate to the cable size, seal by heat or with dexbond.</v>
      </c>
    </row>
    <row r="83" spans="1:8" x14ac:dyDescent="0.25">
      <c r="B83" s="47"/>
      <c r="C83" s="72" t="s">
        <v>43</v>
      </c>
      <c r="D83" s="69" t="s">
        <v>594</v>
      </c>
      <c r="E83" s="192"/>
      <c r="F83" s="195"/>
      <c r="G83" s="195"/>
      <c r="H83" s="198"/>
    </row>
    <row r="84" spans="1:8" x14ac:dyDescent="0.25">
      <c r="B84" s="47"/>
      <c r="C84" s="72" t="s">
        <v>44</v>
      </c>
      <c r="D84" s="86" t="s">
        <v>595</v>
      </c>
      <c r="E84" s="192"/>
      <c r="F84" s="195"/>
      <c r="G84" s="195"/>
      <c r="H84" s="198"/>
    </row>
    <row r="85" spans="1:8" ht="15.75" thickBot="1" x14ac:dyDescent="0.3">
      <c r="B85" s="48"/>
      <c r="C85" s="75" t="s">
        <v>45</v>
      </c>
      <c r="D85" s="88" t="s">
        <v>596</v>
      </c>
      <c r="E85" s="193"/>
      <c r="F85" s="195"/>
      <c r="G85" s="196"/>
      <c r="H85" s="214"/>
    </row>
    <row r="86" spans="1:8" ht="27.95" customHeight="1" x14ac:dyDescent="0.25">
      <c r="A86" s="139" t="s">
        <v>355</v>
      </c>
      <c r="B86" s="46">
        <v>20</v>
      </c>
      <c r="C86" s="215" t="s">
        <v>597</v>
      </c>
      <c r="D86" s="216"/>
      <c r="E86" s="191"/>
      <c r="F86" s="194" t="str">
        <f t="shared" ref="F86" si="18">IF(E86="","",IF(G86=E86,1,0))</f>
        <v/>
      </c>
      <c r="G86" s="194" t="s">
        <v>43</v>
      </c>
      <c r="H86" s="197" t="str">
        <f>IF(F86=1,"Correct","Incorrect:  You should use Sealant 10b (red) to seal closures containing more than the recommended number of cables.  Any closure with 2 or more cables should be sealed with sealant 10b.")</f>
        <v>Incorrect:  You should use Sealant 10b (red) to seal closures containing more than the recommended number of cables.  Any closure with 2 or more cables should be sealed with sealant 10b.</v>
      </c>
    </row>
    <row r="87" spans="1:8" ht="30" customHeight="1" x14ac:dyDescent="0.25">
      <c r="B87" s="47"/>
      <c r="C87" s="72" t="s">
        <v>43</v>
      </c>
      <c r="D87" s="95" t="s">
        <v>598</v>
      </c>
      <c r="E87" s="192"/>
      <c r="F87" s="195"/>
      <c r="G87" s="195"/>
      <c r="H87" s="198"/>
    </row>
    <row r="88" spans="1:8" x14ac:dyDescent="0.25">
      <c r="B88" s="47"/>
      <c r="C88" s="72" t="s">
        <v>44</v>
      </c>
      <c r="D88" s="86" t="s">
        <v>599</v>
      </c>
      <c r="E88" s="192"/>
      <c r="F88" s="195"/>
      <c r="G88" s="195"/>
      <c r="H88" s="198"/>
    </row>
    <row r="89" spans="1:8" ht="15.75" thickBot="1" x14ac:dyDescent="0.3">
      <c r="B89" s="48"/>
      <c r="C89" s="75" t="s">
        <v>45</v>
      </c>
      <c r="D89" s="88" t="s">
        <v>600</v>
      </c>
      <c r="E89" s="193"/>
      <c r="F89" s="195"/>
      <c r="G89" s="196"/>
      <c r="H89" s="214"/>
    </row>
    <row r="90" spans="1:8" ht="27.95" customHeight="1" x14ac:dyDescent="0.25">
      <c r="A90" s="139" t="s">
        <v>354</v>
      </c>
      <c r="B90" s="46">
        <v>21</v>
      </c>
      <c r="C90" s="215" t="s">
        <v>601</v>
      </c>
      <c r="D90" s="216"/>
      <c r="E90" s="191"/>
      <c r="F90" s="194" t="str">
        <f t="shared" ref="F90" si="19">IF(E90="","",IF(G90=E90,1,0))</f>
        <v/>
      </c>
      <c r="G90" s="194" t="s">
        <v>45</v>
      </c>
      <c r="H90" s="197" t="str">
        <f>IF(F90=1,"Correct","Incorrect:  The first pair in a concentric cable are A leg orange B leg white.")</f>
        <v>Incorrect:  The first pair in a concentric cable are A leg orange B leg white.</v>
      </c>
    </row>
    <row r="91" spans="1:8" x14ac:dyDescent="0.25">
      <c r="B91" s="47"/>
      <c r="C91" s="72" t="s">
        <v>43</v>
      </c>
      <c r="D91" s="69" t="s">
        <v>602</v>
      </c>
      <c r="E91" s="192"/>
      <c r="F91" s="195"/>
      <c r="G91" s="195"/>
      <c r="H91" s="198"/>
    </row>
    <row r="92" spans="1:8" x14ac:dyDescent="0.25">
      <c r="B92" s="47"/>
      <c r="C92" s="72" t="s">
        <v>44</v>
      </c>
      <c r="D92" s="86" t="s">
        <v>603</v>
      </c>
      <c r="E92" s="192"/>
      <c r="F92" s="195"/>
      <c r="G92" s="195"/>
      <c r="H92" s="198"/>
    </row>
    <row r="93" spans="1:8" ht="15.75" thickBot="1" x14ac:dyDescent="0.3">
      <c r="B93" s="48"/>
      <c r="C93" s="75" t="s">
        <v>45</v>
      </c>
      <c r="D93" s="88" t="s">
        <v>604</v>
      </c>
      <c r="E93" s="193"/>
      <c r="F93" s="195"/>
      <c r="G93" s="196"/>
      <c r="H93" s="214"/>
    </row>
    <row r="94" spans="1:8" x14ac:dyDescent="0.25">
      <c r="A94" s="139" t="s">
        <v>354</v>
      </c>
      <c r="B94" s="46">
        <v>22</v>
      </c>
      <c r="C94" s="101" t="s">
        <v>605</v>
      </c>
      <c r="D94" s="85"/>
      <c r="E94" s="191"/>
      <c r="F94" s="194" t="str">
        <f t="shared" ref="F94" si="20">IF(E94="","",IF(G94=E94,1,0))</f>
        <v/>
      </c>
      <c r="G94" s="194" t="s">
        <v>43</v>
      </c>
      <c r="H94" s="197" t="str">
        <f>IF(F94=1,"Correct","Incorrect:  The last pair in a concentric cable are A leg green B leg Black.")</f>
        <v>Incorrect:  The last pair in a concentric cable are A leg green B leg Black.</v>
      </c>
    </row>
    <row r="95" spans="1:8" x14ac:dyDescent="0.25">
      <c r="B95" s="47"/>
      <c r="C95" s="72" t="s">
        <v>43</v>
      </c>
      <c r="D95" s="69" t="s">
        <v>602</v>
      </c>
      <c r="E95" s="192"/>
      <c r="F95" s="195"/>
      <c r="G95" s="195"/>
      <c r="H95" s="198"/>
    </row>
    <row r="96" spans="1:8" x14ac:dyDescent="0.25">
      <c r="B96" s="47"/>
      <c r="C96" s="72" t="s">
        <v>44</v>
      </c>
      <c r="D96" s="86" t="s">
        <v>603</v>
      </c>
      <c r="E96" s="192"/>
      <c r="F96" s="195"/>
      <c r="G96" s="195"/>
      <c r="H96" s="198"/>
    </row>
    <row r="97" spans="1:8" ht="15.75" thickBot="1" x14ac:dyDescent="0.3">
      <c r="B97" s="48"/>
      <c r="C97" s="75" t="s">
        <v>45</v>
      </c>
      <c r="D97" s="88" t="s">
        <v>604</v>
      </c>
      <c r="E97" s="193"/>
      <c r="F97" s="195"/>
      <c r="G97" s="196"/>
      <c r="H97" s="214"/>
    </row>
    <row r="98" spans="1:8" x14ac:dyDescent="0.25">
      <c r="A98" s="139" t="s">
        <v>354</v>
      </c>
      <c r="B98" s="46">
        <v>23</v>
      </c>
      <c r="C98" s="101" t="s">
        <v>606</v>
      </c>
      <c r="D98" s="85"/>
      <c r="E98" s="191"/>
      <c r="F98" s="194" t="str">
        <f t="shared" ref="F98" si="21">IF(E98="","",IF(G98=E98,1,0))</f>
        <v/>
      </c>
      <c r="G98" s="194" t="s">
        <v>44</v>
      </c>
      <c r="H98" s="197" t="str">
        <f>IF(F98=1,"Correct","Incorrect:  Pair 7 is wrapped in a Blue Whipping.")</f>
        <v>Incorrect:  Pair 7 is wrapped in a Blue Whipping.</v>
      </c>
    </row>
    <row r="99" spans="1:8" x14ac:dyDescent="0.25">
      <c r="B99" s="47"/>
      <c r="C99" s="72" t="s">
        <v>43</v>
      </c>
      <c r="D99" s="69" t="s">
        <v>617</v>
      </c>
      <c r="E99" s="192"/>
      <c r="F99" s="195"/>
      <c r="G99" s="195"/>
      <c r="H99" s="198"/>
    </row>
    <row r="100" spans="1:8" x14ac:dyDescent="0.25">
      <c r="B100" s="47"/>
      <c r="C100" s="72" t="s">
        <v>44</v>
      </c>
      <c r="D100" s="86" t="s">
        <v>607</v>
      </c>
      <c r="E100" s="192"/>
      <c r="F100" s="195"/>
      <c r="G100" s="195"/>
      <c r="H100" s="198"/>
    </row>
    <row r="101" spans="1:8" ht="15.75" thickBot="1" x14ac:dyDescent="0.3">
      <c r="B101" s="48"/>
      <c r="C101" s="75" t="s">
        <v>45</v>
      </c>
      <c r="D101" s="88" t="s">
        <v>608</v>
      </c>
      <c r="E101" s="193"/>
      <c r="F101" s="195"/>
      <c r="G101" s="196"/>
      <c r="H101" s="214"/>
    </row>
    <row r="102" spans="1:8" x14ac:dyDescent="0.25">
      <c r="A102" s="139" t="s">
        <v>354</v>
      </c>
      <c r="B102" s="46">
        <v>24</v>
      </c>
      <c r="C102" s="101" t="s">
        <v>609</v>
      </c>
      <c r="D102" s="85"/>
      <c r="E102" s="191"/>
      <c r="F102" s="194" t="str">
        <f t="shared" ref="F102" si="22">IF(E102="","",IF(G102=E102,1,0))</f>
        <v/>
      </c>
      <c r="G102" s="194" t="s">
        <v>43</v>
      </c>
      <c r="H102" s="197" t="str">
        <f>IF(F102=1,"Correct","Incorrect:  Pair 7 on a PET cable is A - Red / B - Orange.")</f>
        <v>Incorrect:  Pair 7 on a PET cable is A - Red / B - Orange.</v>
      </c>
    </row>
    <row r="103" spans="1:8" x14ac:dyDescent="0.25">
      <c r="B103" s="47"/>
      <c r="C103" s="72" t="s">
        <v>43</v>
      </c>
      <c r="D103" s="69" t="s">
        <v>610</v>
      </c>
      <c r="E103" s="192"/>
      <c r="F103" s="195"/>
      <c r="G103" s="195"/>
      <c r="H103" s="198"/>
    </row>
    <row r="104" spans="1:8" x14ac:dyDescent="0.25">
      <c r="B104" s="47"/>
      <c r="C104" s="72" t="s">
        <v>44</v>
      </c>
      <c r="D104" s="86" t="s">
        <v>611</v>
      </c>
      <c r="E104" s="192"/>
      <c r="F104" s="195"/>
      <c r="G104" s="195"/>
      <c r="H104" s="198"/>
    </row>
    <row r="105" spans="1:8" ht="15.75" thickBot="1" x14ac:dyDescent="0.3">
      <c r="B105" s="48"/>
      <c r="C105" s="75" t="s">
        <v>45</v>
      </c>
      <c r="D105" s="88" t="s">
        <v>612</v>
      </c>
      <c r="E105" s="193"/>
      <c r="F105" s="195"/>
      <c r="G105" s="196"/>
      <c r="H105" s="214"/>
    </row>
    <row r="106" spans="1:8" x14ac:dyDescent="0.25">
      <c r="A106" s="139" t="s">
        <v>354</v>
      </c>
      <c r="B106" s="46">
        <f>B102+1</f>
        <v>25</v>
      </c>
      <c r="C106" s="101" t="s">
        <v>613</v>
      </c>
      <c r="D106" s="85"/>
      <c r="E106" s="191"/>
      <c r="F106" s="194" t="str">
        <f t="shared" ref="F106" si="23">IF(E106="","",IF(G106=E106,1,0))</f>
        <v/>
      </c>
      <c r="G106" s="194" t="s">
        <v>45</v>
      </c>
      <c r="H106" s="197" t="str">
        <f>IF(F106=1,"Correct","Incorrect:  The whipping around pair 31 of a 50 pair PET cable is Brown.")</f>
        <v>Incorrect:  The whipping around pair 31 of a 50 pair PET cable is Brown.</v>
      </c>
    </row>
    <row r="107" spans="1:8" x14ac:dyDescent="0.25">
      <c r="B107" s="47"/>
      <c r="C107" s="72" t="s">
        <v>43</v>
      </c>
      <c r="D107" s="69" t="s">
        <v>617</v>
      </c>
      <c r="E107" s="192"/>
      <c r="F107" s="195"/>
      <c r="G107" s="195"/>
      <c r="H107" s="198"/>
    </row>
    <row r="108" spans="1:8" x14ac:dyDescent="0.25">
      <c r="B108" s="47"/>
      <c r="C108" s="72" t="s">
        <v>44</v>
      </c>
      <c r="D108" s="86" t="s">
        <v>607</v>
      </c>
      <c r="E108" s="192"/>
      <c r="F108" s="195"/>
      <c r="G108" s="195"/>
      <c r="H108" s="198"/>
    </row>
    <row r="109" spans="1:8" ht="15.75" thickBot="1" x14ac:dyDescent="0.3">
      <c r="B109" s="48"/>
      <c r="C109" s="75" t="s">
        <v>45</v>
      </c>
      <c r="D109" s="88" t="s">
        <v>608</v>
      </c>
      <c r="E109" s="193"/>
      <c r="F109" s="196"/>
      <c r="G109" s="196"/>
      <c r="H109" s="214"/>
    </row>
    <row r="110" spans="1:8" x14ac:dyDescent="0.25">
      <c r="A110" s="139" t="s">
        <v>354</v>
      </c>
      <c r="B110" s="46">
        <f>B106+1</f>
        <v>26</v>
      </c>
      <c r="C110" s="101" t="s">
        <v>614</v>
      </c>
      <c r="D110" s="85"/>
      <c r="E110" s="191"/>
      <c r="F110" s="194" t="str">
        <f t="shared" ref="F110" si="24">IF(E110="","",IF(G110=E110,1,0))</f>
        <v/>
      </c>
      <c r="G110" s="194" t="s">
        <v>45</v>
      </c>
      <c r="H110" s="197" t="str">
        <f>IF(F110=1,"Correct","Incorrect:  Pair 31 on a 50 Pair PET cable is A - White / B - Blue.")</f>
        <v>Incorrect:  Pair 31 on a 50 Pair PET cable is A - White / B - Blue.</v>
      </c>
    </row>
    <row r="111" spans="1:8" x14ac:dyDescent="0.25">
      <c r="B111" s="47"/>
      <c r="C111" s="72" t="s">
        <v>43</v>
      </c>
      <c r="D111" s="69" t="s">
        <v>610</v>
      </c>
      <c r="E111" s="192"/>
      <c r="F111" s="195"/>
      <c r="G111" s="195"/>
      <c r="H111" s="198"/>
    </row>
    <row r="112" spans="1:8" x14ac:dyDescent="0.25">
      <c r="B112" s="47"/>
      <c r="C112" s="72" t="s">
        <v>44</v>
      </c>
      <c r="D112" s="86" t="s">
        <v>611</v>
      </c>
      <c r="E112" s="192"/>
      <c r="F112" s="195"/>
      <c r="G112" s="195"/>
      <c r="H112" s="198"/>
    </row>
    <row r="113" spans="1:8" ht="15.75" thickBot="1" x14ac:dyDescent="0.3">
      <c r="B113" s="48"/>
      <c r="C113" s="75" t="s">
        <v>45</v>
      </c>
      <c r="D113" s="88" t="s">
        <v>612</v>
      </c>
      <c r="E113" s="193"/>
      <c r="F113" s="196"/>
      <c r="G113" s="196"/>
      <c r="H113" s="214"/>
    </row>
    <row r="114" spans="1:8" x14ac:dyDescent="0.25">
      <c r="A114" s="139" t="s">
        <v>354</v>
      </c>
      <c r="B114" s="46">
        <f>B110+1</f>
        <v>27</v>
      </c>
      <c r="C114" s="101" t="s">
        <v>615</v>
      </c>
      <c r="D114" s="85"/>
      <c r="E114" s="191"/>
      <c r="F114" s="194" t="str">
        <f t="shared" ref="F114" si="25">IF(E114="","",IF(G114=E114,1,0))</f>
        <v/>
      </c>
      <c r="G114" s="194" t="s">
        <v>43</v>
      </c>
      <c r="H114" s="197" t="str">
        <f>IF(F114=1,"Correct","Incorrect:  The whipping around pair 49 on a 50 pair PET cable is Grey.")</f>
        <v>Incorrect:  The whipping around pair 49 on a 50 pair PET cable is Grey.</v>
      </c>
    </row>
    <row r="115" spans="1:8" x14ac:dyDescent="0.25">
      <c r="B115" s="47"/>
      <c r="C115" s="72" t="s">
        <v>43</v>
      </c>
      <c r="D115" s="69" t="s">
        <v>617</v>
      </c>
      <c r="E115" s="192"/>
      <c r="F115" s="195"/>
      <c r="G115" s="195"/>
      <c r="H115" s="198"/>
    </row>
    <row r="116" spans="1:8" x14ac:dyDescent="0.25">
      <c r="B116" s="47"/>
      <c r="C116" s="72" t="s">
        <v>44</v>
      </c>
      <c r="D116" s="86" t="s">
        <v>607</v>
      </c>
      <c r="E116" s="192"/>
      <c r="F116" s="195"/>
      <c r="G116" s="195"/>
      <c r="H116" s="198"/>
    </row>
    <row r="117" spans="1:8" ht="15.75" thickBot="1" x14ac:dyDescent="0.3">
      <c r="B117" s="48"/>
      <c r="C117" s="75" t="s">
        <v>45</v>
      </c>
      <c r="D117" s="88" t="s">
        <v>608</v>
      </c>
      <c r="E117" s="193"/>
      <c r="F117" s="196"/>
      <c r="G117" s="196"/>
      <c r="H117" s="214"/>
    </row>
    <row r="118" spans="1:8" x14ac:dyDescent="0.25">
      <c r="A118" s="139" t="s">
        <v>354</v>
      </c>
      <c r="B118" s="46">
        <f>B114+1</f>
        <v>28</v>
      </c>
      <c r="C118" s="101" t="s">
        <v>616</v>
      </c>
      <c r="D118" s="85"/>
      <c r="E118" s="191"/>
      <c r="F118" s="194" t="str">
        <f t="shared" ref="F118" si="26">IF(E118="","",IF(G118=E118,1,0))</f>
        <v/>
      </c>
      <c r="G118" s="194" t="s">
        <v>44</v>
      </c>
      <c r="H118" s="197" t="str">
        <f>IF(F118=1,"Correct","Incorrect:  The colour of pair 49 on a 50 pair PET cable is A - Red / B - Brown.")</f>
        <v>Incorrect:  The colour of pair 49 on a 50 pair PET cable is A - Red / B - Brown.</v>
      </c>
    </row>
    <row r="119" spans="1:8" x14ac:dyDescent="0.25">
      <c r="B119" s="47"/>
      <c r="C119" s="72" t="s">
        <v>43</v>
      </c>
      <c r="D119" s="69" t="s">
        <v>610</v>
      </c>
      <c r="E119" s="192"/>
      <c r="F119" s="195"/>
      <c r="G119" s="195"/>
      <c r="H119" s="198"/>
    </row>
    <row r="120" spans="1:8" x14ac:dyDescent="0.25">
      <c r="B120" s="47"/>
      <c r="C120" s="72" t="s">
        <v>44</v>
      </c>
      <c r="D120" s="86" t="s">
        <v>611</v>
      </c>
      <c r="E120" s="192"/>
      <c r="F120" s="195"/>
      <c r="G120" s="195"/>
      <c r="H120" s="198"/>
    </row>
    <row r="121" spans="1:8" ht="15.75" thickBot="1" x14ac:dyDescent="0.3">
      <c r="B121" s="48"/>
      <c r="C121" s="75" t="s">
        <v>45</v>
      </c>
      <c r="D121" s="88" t="s">
        <v>612</v>
      </c>
      <c r="E121" s="193"/>
      <c r="F121" s="196"/>
      <c r="G121" s="196"/>
      <c r="H121" s="214"/>
    </row>
    <row r="122" spans="1:8" x14ac:dyDescent="0.25">
      <c r="A122" s="139" t="s">
        <v>354</v>
      </c>
      <c r="B122" s="46">
        <f>B118+1</f>
        <v>29</v>
      </c>
      <c r="C122" s="101" t="s">
        <v>618</v>
      </c>
      <c r="D122" s="85"/>
      <c r="E122" s="191"/>
      <c r="F122" s="194" t="str">
        <f t="shared" ref="F122" si="27">IF(E122="","",IF(G122=E122,1,0))</f>
        <v/>
      </c>
      <c r="G122" s="194" t="s">
        <v>45</v>
      </c>
      <c r="H122" s="197" t="str">
        <f>IF(F122=1,"Correct","Incorrect:  If you complete the actions required on an existing A1024 you should Advise the A1024 duty so that another engineer isnt sent to do the same job that is no longer required.")</f>
        <v>Incorrect:  If you complete the actions required on an existing A1024 you should Advise the A1024 duty so that another engineer isnt sent to do the same job that is no longer required.</v>
      </c>
    </row>
    <row r="123" spans="1:8" x14ac:dyDescent="0.25">
      <c r="B123" s="47"/>
      <c r="C123" s="72" t="s">
        <v>43</v>
      </c>
      <c r="D123" s="69" t="s">
        <v>619</v>
      </c>
      <c r="E123" s="192"/>
      <c r="F123" s="195"/>
      <c r="G123" s="195"/>
      <c r="H123" s="198"/>
    </row>
    <row r="124" spans="1:8" x14ac:dyDescent="0.25">
      <c r="B124" s="47"/>
      <c r="C124" s="72" t="s">
        <v>44</v>
      </c>
      <c r="D124" s="86" t="s">
        <v>620</v>
      </c>
      <c r="E124" s="192"/>
      <c r="F124" s="195"/>
      <c r="G124" s="195"/>
      <c r="H124" s="198"/>
    </row>
    <row r="125" spans="1:8" ht="15.75" thickBot="1" x14ac:dyDescent="0.3">
      <c r="B125" s="48"/>
      <c r="C125" s="75" t="s">
        <v>45</v>
      </c>
      <c r="D125" s="88" t="s">
        <v>621</v>
      </c>
      <c r="E125" s="193"/>
      <c r="F125" s="196"/>
      <c r="G125" s="196"/>
      <c r="H125" s="214"/>
    </row>
    <row r="126" spans="1:8" x14ac:dyDescent="0.25">
      <c r="A126" s="139" t="s">
        <v>354</v>
      </c>
      <c r="B126" s="46">
        <f>B122+1</f>
        <v>30</v>
      </c>
      <c r="C126" s="101" t="s">
        <v>622</v>
      </c>
      <c r="D126" s="85"/>
      <c r="E126" s="191"/>
      <c r="F126" s="194" t="str">
        <f t="shared" ref="F126" si="28">IF(E126="","",IF(G126=E126,1,0))</f>
        <v/>
      </c>
      <c r="G126" s="194" t="s">
        <v>44</v>
      </c>
      <c r="H126" s="197" t="str">
        <f>IF(F126=1,"Correct","Incorrect:  You should replace the closure with a new type closure if a bolt is damaged or cross headed.")</f>
        <v>Incorrect:  You should replace the closure with a new type closure if a bolt is damaged or cross headed.</v>
      </c>
    </row>
    <row r="127" spans="1:8" x14ac:dyDescent="0.25">
      <c r="B127" s="47"/>
      <c r="C127" s="72" t="s">
        <v>43</v>
      </c>
      <c r="D127" s="86" t="s">
        <v>623</v>
      </c>
      <c r="E127" s="192"/>
      <c r="F127" s="195"/>
      <c r="G127" s="195"/>
      <c r="H127" s="198"/>
    </row>
    <row r="128" spans="1:8" x14ac:dyDescent="0.25">
      <c r="B128" s="47"/>
      <c r="C128" s="72" t="s">
        <v>44</v>
      </c>
      <c r="D128" s="86" t="s">
        <v>624</v>
      </c>
      <c r="E128" s="192"/>
      <c r="F128" s="195"/>
      <c r="G128" s="195"/>
      <c r="H128" s="198"/>
    </row>
    <row r="129" spans="1:8" ht="15.75" thickBot="1" x14ac:dyDescent="0.3">
      <c r="B129" s="48"/>
      <c r="C129" s="75" t="s">
        <v>45</v>
      </c>
      <c r="D129" s="106" t="s">
        <v>625</v>
      </c>
      <c r="E129" s="193"/>
      <c r="F129" s="196"/>
      <c r="G129" s="196"/>
      <c r="H129" s="214"/>
    </row>
    <row r="130" spans="1:8" x14ac:dyDescent="0.25">
      <c r="A130" s="139" t="s">
        <v>354</v>
      </c>
      <c r="B130" s="46">
        <f>B126+1</f>
        <v>31</v>
      </c>
      <c r="C130" s="101" t="s">
        <v>626</v>
      </c>
      <c r="D130" s="107"/>
      <c r="E130" s="191"/>
      <c r="F130" s="194" t="str">
        <f t="shared" ref="F130" si="29">IF(E130="","",IF(G130=E130,1,0))</f>
        <v/>
      </c>
      <c r="G130" s="194" t="s">
        <v>43</v>
      </c>
      <c r="H130" s="197" t="str">
        <f>IF(F130=1,"Correct","Incorrect:  If the rubber seal is missing on a 34 closure you can fit a new seal if you have one available, if you don’t have a seal then you should fit a new clip type closure.")</f>
        <v>Incorrect:  If the rubber seal is missing on a 34 closure you can fit a new seal if you have one available, if you don’t have a seal then you should fit a new clip type closure.</v>
      </c>
    </row>
    <row r="131" spans="1:8" x14ac:dyDescent="0.25">
      <c r="B131" s="47"/>
      <c r="C131" s="72" t="s">
        <v>43</v>
      </c>
      <c r="D131" s="86" t="s">
        <v>627</v>
      </c>
      <c r="E131" s="192"/>
      <c r="F131" s="195"/>
      <c r="G131" s="195"/>
      <c r="H131" s="198"/>
    </row>
    <row r="132" spans="1:8" x14ac:dyDescent="0.25">
      <c r="B132" s="47"/>
      <c r="C132" s="72" t="s">
        <v>44</v>
      </c>
      <c r="D132" s="86" t="s">
        <v>628</v>
      </c>
      <c r="E132" s="192"/>
      <c r="F132" s="195"/>
      <c r="G132" s="195"/>
      <c r="H132" s="198"/>
    </row>
    <row r="133" spans="1:8" ht="15.75" thickBot="1" x14ac:dyDescent="0.3">
      <c r="B133" s="48"/>
      <c r="C133" s="75" t="s">
        <v>45</v>
      </c>
      <c r="D133" s="106" t="s">
        <v>629</v>
      </c>
      <c r="E133" s="193"/>
      <c r="F133" s="196"/>
      <c r="G133" s="196"/>
      <c r="H133" s="214"/>
    </row>
    <row r="134" spans="1:8" x14ac:dyDescent="0.25">
      <c r="A134" s="139" t="s">
        <v>354</v>
      </c>
      <c r="B134" s="46">
        <f>B130+1</f>
        <v>32</v>
      </c>
      <c r="C134" s="101" t="s">
        <v>630</v>
      </c>
      <c r="D134" s="107"/>
      <c r="E134" s="191"/>
      <c r="F134" s="194" t="str">
        <f t="shared" ref="F134" si="30">IF(E134="","",IF(G134=E134,1,0))</f>
        <v/>
      </c>
      <c r="G134" s="194" t="s">
        <v>44</v>
      </c>
      <c r="H134" s="197" t="str">
        <f>IF(F134=1,"Correct","Incorrect:  The the gel seal is missing on any of the ports and the joint is in good condition then you can replace the gel tape where required, if not then you should replace the closure with a new clip closure.")</f>
        <v>Incorrect:  The the gel seal is missing on any of the ports and the joint is in good condition then you can replace the gel tape where required, if not then you should replace the closure with a new clip closure.</v>
      </c>
    </row>
    <row r="135" spans="1:8" x14ac:dyDescent="0.25">
      <c r="B135" s="47"/>
      <c r="C135" s="72" t="s">
        <v>43</v>
      </c>
      <c r="D135" s="86" t="s">
        <v>632</v>
      </c>
      <c r="E135" s="192"/>
      <c r="F135" s="195"/>
      <c r="G135" s="195"/>
      <c r="H135" s="198"/>
    </row>
    <row r="136" spans="1:8" x14ac:dyDescent="0.25">
      <c r="B136" s="47"/>
      <c r="C136" s="72" t="s">
        <v>44</v>
      </c>
      <c r="D136" s="86" t="s">
        <v>631</v>
      </c>
      <c r="E136" s="192"/>
      <c r="F136" s="195"/>
      <c r="G136" s="195"/>
      <c r="H136" s="198"/>
    </row>
    <row r="137" spans="1:8" ht="15.75" thickBot="1" x14ac:dyDescent="0.3">
      <c r="B137" s="48"/>
      <c r="C137" s="75" t="s">
        <v>45</v>
      </c>
      <c r="D137" s="106" t="s">
        <v>629</v>
      </c>
      <c r="E137" s="193"/>
      <c r="F137" s="196"/>
      <c r="G137" s="196"/>
      <c r="H137" s="214"/>
    </row>
    <row r="138" spans="1:8" x14ac:dyDescent="0.25">
      <c r="A138" s="139" t="s">
        <v>354</v>
      </c>
      <c r="B138" s="46">
        <f>B134+1</f>
        <v>33</v>
      </c>
      <c r="C138" s="101" t="s">
        <v>766</v>
      </c>
      <c r="D138" s="107"/>
      <c r="E138" s="191"/>
      <c r="F138" s="194" t="str">
        <f t="shared" ref="F138" si="31">IF(E138="","",IF(G138=E138,1,0))</f>
        <v/>
      </c>
      <c r="G138" s="194" t="s">
        <v>43</v>
      </c>
      <c r="H138" s="197" t="str">
        <f>IF(F138=1,"Correct","Incorrect:  If a bolt is missing on a 34 type closure and you have a spare available then you can replace it if the joint is sound, if not you should replace the joint with a clip style closure.")</f>
        <v>Incorrect:  If a bolt is missing on a 34 type closure and you have a spare available then you can replace it if the joint is sound, if not you should replace the joint with a clip style closure.</v>
      </c>
    </row>
    <row r="139" spans="1:8" x14ac:dyDescent="0.25">
      <c r="B139" s="47"/>
      <c r="C139" s="72" t="s">
        <v>43</v>
      </c>
      <c r="D139" s="86" t="s">
        <v>633</v>
      </c>
      <c r="E139" s="192"/>
      <c r="F139" s="195"/>
      <c r="G139" s="195"/>
      <c r="H139" s="198"/>
    </row>
    <row r="140" spans="1:8" x14ac:dyDescent="0.25">
      <c r="B140" s="47"/>
      <c r="C140" s="72" t="s">
        <v>44</v>
      </c>
      <c r="D140" s="86" t="s">
        <v>629</v>
      </c>
      <c r="E140" s="192"/>
      <c r="F140" s="195"/>
      <c r="G140" s="195"/>
      <c r="H140" s="198"/>
    </row>
    <row r="141" spans="1:8" ht="15.75" thickBot="1" x14ac:dyDescent="0.3">
      <c r="B141" s="48"/>
      <c r="C141" s="75" t="s">
        <v>45</v>
      </c>
      <c r="D141" s="106" t="s">
        <v>634</v>
      </c>
      <c r="E141" s="193"/>
      <c r="F141" s="196"/>
      <c r="G141" s="196"/>
      <c r="H141" s="214"/>
    </row>
    <row r="142" spans="1:8" x14ac:dyDescent="0.25">
      <c r="A142" s="139" t="s">
        <v>354</v>
      </c>
      <c r="B142" s="46">
        <f>B138+1</f>
        <v>34</v>
      </c>
      <c r="C142" s="101" t="s">
        <v>635</v>
      </c>
      <c r="D142" s="107"/>
      <c r="E142" s="191"/>
      <c r="F142" s="194" t="str">
        <f t="shared" ref="F142" si="32">IF(E142="","",IF(G142=E142,1,0))</f>
        <v/>
      </c>
      <c r="G142" s="194" t="s">
        <v>43</v>
      </c>
      <c r="H142" s="197" t="str">
        <f>IF(F142=1,"Correct","Incorrect:  If the joint isnt strapped up properly then you should fit cable ties to restrain it properly.")</f>
        <v>Incorrect:  If the joint isnt strapped up properly then you should fit cable ties to restrain it properly.</v>
      </c>
    </row>
    <row r="143" spans="1:8" x14ac:dyDescent="0.25">
      <c r="B143" s="47"/>
      <c r="C143" s="72" t="s">
        <v>43</v>
      </c>
      <c r="D143" s="86" t="s">
        <v>636</v>
      </c>
      <c r="E143" s="192"/>
      <c r="F143" s="195"/>
      <c r="G143" s="195"/>
      <c r="H143" s="198"/>
    </row>
    <row r="144" spans="1:8" x14ac:dyDescent="0.25">
      <c r="B144" s="47"/>
      <c r="C144" s="72" t="s">
        <v>44</v>
      </c>
      <c r="D144" s="86" t="s">
        <v>637</v>
      </c>
      <c r="E144" s="192"/>
      <c r="F144" s="195"/>
      <c r="G144" s="195"/>
      <c r="H144" s="198"/>
    </row>
    <row r="145" spans="2:8" ht="15.75" thickBot="1" x14ac:dyDescent="0.3">
      <c r="B145" s="48"/>
      <c r="C145" s="75" t="s">
        <v>45</v>
      </c>
      <c r="D145" s="106" t="s">
        <v>767</v>
      </c>
      <c r="E145" s="193"/>
      <c r="F145" s="196"/>
      <c r="G145" s="196"/>
      <c r="H145" s="214"/>
    </row>
    <row r="147" spans="2:8" ht="15.75" thickBot="1" x14ac:dyDescent="0.3"/>
    <row r="148" spans="2:8" x14ac:dyDescent="0.25">
      <c r="C148" s="205" t="s">
        <v>745</v>
      </c>
      <c r="D148" s="206"/>
      <c r="E148" s="207"/>
    </row>
    <row r="149" spans="2:8" x14ac:dyDescent="0.25">
      <c r="C149" s="208"/>
      <c r="D149" s="209"/>
      <c r="E149" s="210"/>
    </row>
    <row r="150" spans="2:8" ht="15.75" thickBot="1" x14ac:dyDescent="0.3">
      <c r="C150" s="211"/>
      <c r="D150" s="212"/>
      <c r="E150" s="213"/>
    </row>
  </sheetData>
  <sheetProtection sheet="1" objects="1" scenarios="1" selectLockedCells="1"/>
  <mergeCells count="145">
    <mergeCell ref="C148:E150"/>
    <mergeCell ref="E142:E145"/>
    <mergeCell ref="F142:F145"/>
    <mergeCell ref="G142:G145"/>
    <mergeCell ref="H142:H145"/>
    <mergeCell ref="E130:E133"/>
    <mergeCell ref="F130:F133"/>
    <mergeCell ref="G130:G133"/>
    <mergeCell ref="H130:H133"/>
    <mergeCell ref="E134:E137"/>
    <mergeCell ref="F134:F137"/>
    <mergeCell ref="G134:G137"/>
    <mergeCell ref="H134:H137"/>
    <mergeCell ref="E138:E141"/>
    <mergeCell ref="F138:F141"/>
    <mergeCell ref="G138:G141"/>
    <mergeCell ref="H138:H141"/>
    <mergeCell ref="E118:E121"/>
    <mergeCell ref="F118:F121"/>
    <mergeCell ref="G118:G121"/>
    <mergeCell ref="H118:H121"/>
    <mergeCell ref="E122:E125"/>
    <mergeCell ref="F122:F125"/>
    <mergeCell ref="G122:G125"/>
    <mergeCell ref="H122:H125"/>
    <mergeCell ref="E126:E129"/>
    <mergeCell ref="F126:F129"/>
    <mergeCell ref="G126:G129"/>
    <mergeCell ref="H126:H129"/>
    <mergeCell ref="C73:D73"/>
    <mergeCell ref="C78:D78"/>
    <mergeCell ref="C86:D86"/>
    <mergeCell ref="C90:D90"/>
    <mergeCell ref="E110:E113"/>
    <mergeCell ref="F110:F113"/>
    <mergeCell ref="G110:G113"/>
    <mergeCell ref="H110:H113"/>
    <mergeCell ref="E114:E117"/>
    <mergeCell ref="F114:F117"/>
    <mergeCell ref="G114:G117"/>
    <mergeCell ref="H114:H117"/>
    <mergeCell ref="H82:H85"/>
    <mergeCell ref="E86:E89"/>
    <mergeCell ref="F86:F89"/>
    <mergeCell ref="G86:G89"/>
    <mergeCell ref="H86:H89"/>
    <mergeCell ref="E73:E77"/>
    <mergeCell ref="F73:F77"/>
    <mergeCell ref="G73:G77"/>
    <mergeCell ref="H73:H77"/>
    <mergeCell ref="E78:E81"/>
    <mergeCell ref="F78:F81"/>
    <mergeCell ref="G78:G81"/>
    <mergeCell ref="C65:D65"/>
    <mergeCell ref="E106:E109"/>
    <mergeCell ref="F106:F109"/>
    <mergeCell ref="G106:G109"/>
    <mergeCell ref="H106:H109"/>
    <mergeCell ref="E98:E101"/>
    <mergeCell ref="F98:F101"/>
    <mergeCell ref="G98:G101"/>
    <mergeCell ref="H98:H101"/>
    <mergeCell ref="E102:E105"/>
    <mergeCell ref="F102:F105"/>
    <mergeCell ref="G102:G105"/>
    <mergeCell ref="H102:H105"/>
    <mergeCell ref="E90:E93"/>
    <mergeCell ref="F90:F93"/>
    <mergeCell ref="G90:G93"/>
    <mergeCell ref="H90:H93"/>
    <mergeCell ref="E94:E97"/>
    <mergeCell ref="F94:F97"/>
    <mergeCell ref="G94:G97"/>
    <mergeCell ref="H94:H97"/>
    <mergeCell ref="E82:E85"/>
    <mergeCell ref="F82:F85"/>
    <mergeCell ref="G82:G85"/>
    <mergeCell ref="E61:E64"/>
    <mergeCell ref="F61:F64"/>
    <mergeCell ref="G61:G64"/>
    <mergeCell ref="H61:H64"/>
    <mergeCell ref="E49:E52"/>
    <mergeCell ref="F49:F52"/>
    <mergeCell ref="G49:G52"/>
    <mergeCell ref="H49:H52"/>
    <mergeCell ref="H78:H81"/>
    <mergeCell ref="E65:E68"/>
    <mergeCell ref="F65:F68"/>
    <mergeCell ref="G65:G68"/>
    <mergeCell ref="H65:H68"/>
    <mergeCell ref="E69:E72"/>
    <mergeCell ref="F69:F72"/>
    <mergeCell ref="G69:G72"/>
    <mergeCell ref="H69:H72"/>
    <mergeCell ref="C37:D37"/>
    <mergeCell ref="E37:E40"/>
    <mergeCell ref="F37:F40"/>
    <mergeCell ref="G37:G40"/>
    <mergeCell ref="H37:H40"/>
    <mergeCell ref="E57:E60"/>
    <mergeCell ref="F57:F60"/>
    <mergeCell ref="G57:G60"/>
    <mergeCell ref="H57:H60"/>
    <mergeCell ref="C53:D53"/>
    <mergeCell ref="E53:E56"/>
    <mergeCell ref="F53:F56"/>
    <mergeCell ref="G53:G56"/>
    <mergeCell ref="H53:H56"/>
    <mergeCell ref="E41:E44"/>
    <mergeCell ref="F41:F44"/>
    <mergeCell ref="G41:G44"/>
    <mergeCell ref="H41:H44"/>
    <mergeCell ref="E45:E48"/>
    <mergeCell ref="F45:F48"/>
    <mergeCell ref="G45:G48"/>
    <mergeCell ref="H45:H48"/>
    <mergeCell ref="B4:E4"/>
    <mergeCell ref="E8:E12"/>
    <mergeCell ref="F8:F12"/>
    <mergeCell ref="G8:G12"/>
    <mergeCell ref="H8:H12"/>
    <mergeCell ref="E13:E16"/>
    <mergeCell ref="F13:F16"/>
    <mergeCell ref="G13:G16"/>
    <mergeCell ref="H13:H16"/>
    <mergeCell ref="E17:E20"/>
    <mergeCell ref="F17:F20"/>
    <mergeCell ref="G17:G20"/>
    <mergeCell ref="H17:H20"/>
    <mergeCell ref="E21:E24"/>
    <mergeCell ref="F21:F24"/>
    <mergeCell ref="G21:G24"/>
    <mergeCell ref="H21:H24"/>
    <mergeCell ref="E33:E36"/>
    <mergeCell ref="F33:F36"/>
    <mergeCell ref="G33:G36"/>
    <mergeCell ref="H33:H36"/>
    <mergeCell ref="E25:E28"/>
    <mergeCell ref="F25:F28"/>
    <mergeCell ref="G25:G28"/>
    <mergeCell ref="H25:H28"/>
    <mergeCell ref="E29:E32"/>
    <mergeCell ref="F29:F32"/>
    <mergeCell ref="G29:G32"/>
    <mergeCell ref="H29:H32"/>
  </mergeCells>
  <conditionalFormatting sqref="H8:H106">
    <cfRule type="cellIs" dxfId="29" priority="17" operator="equal">
      <formula>"Correct"</formula>
    </cfRule>
  </conditionalFormatting>
  <conditionalFormatting sqref="H110:H113">
    <cfRule type="cellIs" dxfId="28" priority="15" operator="equal">
      <formula>"Correct"</formula>
    </cfRule>
  </conditionalFormatting>
  <conditionalFormatting sqref="H114:H117">
    <cfRule type="cellIs" dxfId="27" priority="14" operator="equal">
      <formula>"Correct"</formula>
    </cfRule>
  </conditionalFormatting>
  <conditionalFormatting sqref="H118:H121">
    <cfRule type="cellIs" dxfId="26" priority="13" operator="equal">
      <formula>"Correct"</formula>
    </cfRule>
  </conditionalFormatting>
  <conditionalFormatting sqref="H122:H125">
    <cfRule type="cellIs" dxfId="25" priority="12" operator="equal">
      <formula>"Correct"</formula>
    </cfRule>
  </conditionalFormatting>
  <conditionalFormatting sqref="H126:H129">
    <cfRule type="cellIs" dxfId="24" priority="11" operator="equal">
      <formula>"Correct"</formula>
    </cfRule>
  </conditionalFormatting>
  <conditionalFormatting sqref="H130:H133">
    <cfRule type="cellIs" dxfId="23" priority="10" operator="equal">
      <formula>"Correct"</formula>
    </cfRule>
  </conditionalFormatting>
  <conditionalFormatting sqref="H134:H137">
    <cfRule type="cellIs" dxfId="22" priority="9" operator="equal">
      <formula>"Correct"</formula>
    </cfRule>
  </conditionalFormatting>
  <conditionalFormatting sqref="H138:H141">
    <cfRule type="cellIs" dxfId="21" priority="8" operator="equal">
      <formula>"Correct"</formula>
    </cfRule>
  </conditionalFormatting>
  <conditionalFormatting sqref="H142:H145">
    <cfRule type="cellIs" dxfId="20" priority="7" operator="equal">
      <formula>"Correct"</formula>
    </cfRule>
  </conditionalFormatting>
  <dataValidations count="2">
    <dataValidation type="list" allowBlank="1" showInputMessage="1" showErrorMessage="1" sqref="E13 E17 E21 E25 E29 E33 E37 E41 E45 E49 E53 E57 E61 E65 E69 E106 E78 E82 E86 E90 E94 E98 E102 E110 E114 E118 E122 E126 E130 E134 E138 E142">
      <formula1>"A,B,C"</formula1>
    </dataValidation>
    <dataValidation type="list" allowBlank="1" showInputMessage="1" showErrorMessage="1" sqref="E8 E73:E77">
      <formula1>"A,B,C,D"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H112"/>
  <sheetViews>
    <sheetView showGridLines="0" showRowColHeaders="0" zoomScaleNormal="100" workbookViewId="0">
      <selection activeCell="B14" sqref="B12:E19"/>
    </sheetView>
  </sheetViews>
  <sheetFormatPr defaultColWidth="9.28515625" defaultRowHeight="15" x14ac:dyDescent="0.25"/>
  <cols>
    <col min="1" max="1" width="3" style="76" customWidth="1"/>
    <col min="2" max="2" width="3.85546875" style="44" bestFit="1" customWidth="1"/>
    <col min="3" max="3" width="3.85546875" style="98" customWidth="1"/>
    <col min="4" max="4" width="97.85546875" style="76" customWidth="1"/>
    <col min="5" max="5" width="7.85546875" style="84" customWidth="1"/>
    <col min="6" max="7" width="7.85546875" style="76" hidden="1" customWidth="1"/>
    <col min="8" max="8" width="66.5703125" style="76" hidden="1" customWidth="1"/>
    <col min="9" max="16384" width="9.28515625" style="76"/>
  </cols>
  <sheetData>
    <row r="1" spans="1:8" ht="46.5" x14ac:dyDescent="0.25">
      <c r="A1" s="83"/>
      <c r="D1" s="45" t="s">
        <v>467</v>
      </c>
    </row>
    <row r="3" spans="1:8" ht="15.75" thickBot="1" x14ac:dyDescent="0.3"/>
    <row r="4" spans="1:8" ht="19.5" thickBot="1" x14ac:dyDescent="0.3">
      <c r="B4" s="202" t="str">
        <f>IF('Engineer Self Assessment'!B14="Skilled","Please answer all questions from below.  If you don’t know the answer don’t guess, leave it blank.","As you have said you do not have an Iphone you do not need to complete this section.")</f>
        <v>As you have said you do not have an Iphone you do not need to complete this section.</v>
      </c>
      <c r="C4" s="203"/>
      <c r="D4" s="203"/>
      <c r="E4" s="204"/>
    </row>
    <row r="5" spans="1:8" ht="32.25" thickBot="1" x14ac:dyDescent="0.3">
      <c r="H5" s="66" t="str">
        <f>"Your score - "&amp;Scoresheet!D11&amp;"/"&amp;Scoresheet!U11</f>
        <v>Your score - /25</v>
      </c>
    </row>
    <row r="6" spans="1:8" x14ac:dyDescent="0.25">
      <c r="C6" s="99"/>
    </row>
    <row r="7" spans="1:8" ht="15.75" thickBot="1" x14ac:dyDescent="0.3"/>
    <row r="8" spans="1:8" x14ac:dyDescent="0.25">
      <c r="B8" s="46">
        <v>1</v>
      </c>
      <c r="C8" s="100" t="s">
        <v>469</v>
      </c>
      <c r="D8" s="85"/>
      <c r="E8" s="191"/>
      <c r="F8" s="194" t="str">
        <f>IF(E8="","",IF(G8=E8,1,0))</f>
        <v/>
      </c>
      <c r="G8" s="194" t="s">
        <v>43</v>
      </c>
      <c r="H8" s="197" t="str">
        <f>IF(F8=1,"Correct","Incorrect:  If you Iphone needs to be restarted, Holding in the power and home button until the apple symbol appears will force a phone restart.")</f>
        <v>Incorrect:  If you Iphone needs to be restarted, Holding in the power and home button until the apple symbol appears will force a phone restart.</v>
      </c>
    </row>
    <row r="9" spans="1:8" x14ac:dyDescent="0.25">
      <c r="B9" s="47"/>
      <c r="C9" s="72" t="s">
        <v>43</v>
      </c>
      <c r="D9" s="69" t="s">
        <v>675</v>
      </c>
      <c r="E9" s="192"/>
      <c r="F9" s="195"/>
      <c r="G9" s="195"/>
      <c r="H9" s="198"/>
    </row>
    <row r="10" spans="1:8" x14ac:dyDescent="0.25">
      <c r="B10" s="47"/>
      <c r="C10" s="72" t="s">
        <v>44</v>
      </c>
      <c r="D10" s="69" t="s">
        <v>470</v>
      </c>
      <c r="E10" s="192"/>
      <c r="F10" s="195"/>
      <c r="G10" s="195"/>
      <c r="H10" s="198"/>
    </row>
    <row r="11" spans="1:8" ht="15.75" thickBot="1" x14ac:dyDescent="0.3">
      <c r="B11" s="47"/>
      <c r="C11" s="72" t="s">
        <v>45</v>
      </c>
      <c r="D11" s="86" t="s">
        <v>327</v>
      </c>
      <c r="E11" s="192"/>
      <c r="F11" s="195"/>
      <c r="G11" s="195"/>
      <c r="H11" s="214"/>
    </row>
    <row r="12" spans="1:8" x14ac:dyDescent="0.25">
      <c r="B12" s="46">
        <v>2</v>
      </c>
      <c r="C12" s="101" t="s">
        <v>471</v>
      </c>
      <c r="D12" s="85"/>
      <c r="E12" s="191"/>
      <c r="F12" s="194" t="str">
        <f t="shared" ref="F12" si="0">IF(E12="","",IF(G12=E12,1,0))</f>
        <v/>
      </c>
      <c r="G12" s="194" t="s">
        <v>45</v>
      </c>
      <c r="H12" s="197" t="str">
        <f>IF(F12=1,"Correct","Incorrect:  If you forget your Good password, phone password or need to reinstall Good, you can do this yourself by following the instruction at FixIT article 11684.")</f>
        <v>Incorrect:  If you forget your Good password, phone password or need to reinstall Good, you can do this yourself by following the instruction at FixIT article 11684.</v>
      </c>
    </row>
    <row r="13" spans="1:8" x14ac:dyDescent="0.25">
      <c r="B13" s="47"/>
      <c r="C13" s="72" t="s">
        <v>43</v>
      </c>
      <c r="D13" s="69" t="s">
        <v>473</v>
      </c>
      <c r="E13" s="192"/>
      <c r="F13" s="195"/>
      <c r="G13" s="195"/>
      <c r="H13" s="198"/>
    </row>
    <row r="14" spans="1:8" x14ac:dyDescent="0.25">
      <c r="B14" s="47"/>
      <c r="C14" s="72" t="s">
        <v>44</v>
      </c>
      <c r="D14" s="86" t="s">
        <v>327</v>
      </c>
      <c r="E14" s="192"/>
      <c r="F14" s="195"/>
      <c r="G14" s="195"/>
      <c r="H14" s="198"/>
    </row>
    <row r="15" spans="1:8" ht="15.75" thickBot="1" x14ac:dyDescent="0.3">
      <c r="B15" s="48"/>
      <c r="C15" s="75" t="s">
        <v>45</v>
      </c>
      <c r="D15" s="88" t="s">
        <v>472</v>
      </c>
      <c r="E15" s="193"/>
      <c r="F15" s="195"/>
      <c r="G15" s="196"/>
      <c r="H15" s="214"/>
    </row>
    <row r="16" spans="1:8" x14ac:dyDescent="0.25">
      <c r="B16" s="46">
        <v>3</v>
      </c>
      <c r="C16" s="102" t="s">
        <v>474</v>
      </c>
      <c r="D16" s="89"/>
      <c r="E16" s="191"/>
      <c r="F16" s="194" t="str">
        <f t="shared" ref="F16" si="1">IF(E16="","",IF(G16=E16,1,0))</f>
        <v/>
      </c>
      <c r="G16" s="194" t="s">
        <v>44</v>
      </c>
      <c r="H16" s="197" t="str">
        <f>IF(F16=1,"Correct","Incorrect:  The contigency app can only be used in emergency situations during service outages and allows sign on, progress jobs book lunch and sign off.")</f>
        <v>Incorrect:  The contigency app can only be used in emergency situations during service outages and allows sign on, progress jobs book lunch and sign off.</v>
      </c>
    </row>
    <row r="17" spans="2:8" x14ac:dyDescent="0.25">
      <c r="B17" s="47"/>
      <c r="C17" s="81" t="s">
        <v>43</v>
      </c>
      <c r="D17" s="90" t="s">
        <v>476</v>
      </c>
      <c r="E17" s="192"/>
      <c r="F17" s="195"/>
      <c r="G17" s="195"/>
      <c r="H17" s="198"/>
    </row>
    <row r="18" spans="2:8" ht="30" customHeight="1" x14ac:dyDescent="0.25">
      <c r="B18" s="47"/>
      <c r="C18" s="82" t="s">
        <v>44</v>
      </c>
      <c r="D18" s="105" t="s">
        <v>475</v>
      </c>
      <c r="E18" s="192"/>
      <c r="F18" s="195"/>
      <c r="G18" s="195"/>
      <c r="H18" s="198"/>
    </row>
    <row r="19" spans="2:8" ht="15.75" thickBot="1" x14ac:dyDescent="0.3">
      <c r="B19" s="48"/>
      <c r="C19" s="82" t="s">
        <v>45</v>
      </c>
      <c r="D19" s="91" t="s">
        <v>477</v>
      </c>
      <c r="E19" s="193"/>
      <c r="F19" s="195"/>
      <c r="G19" s="196"/>
      <c r="H19" s="214"/>
    </row>
    <row r="20" spans="2:8" x14ac:dyDescent="0.25">
      <c r="B20" s="46">
        <v>4</v>
      </c>
      <c r="C20" s="101" t="s">
        <v>478</v>
      </c>
      <c r="D20" s="85"/>
      <c r="E20" s="191"/>
      <c r="F20" s="194" t="str">
        <f t="shared" ref="F20" si="2">IF(E20="","",IF(G20=E20,1,0))</f>
        <v/>
      </c>
      <c r="G20" s="194" t="s">
        <v>45</v>
      </c>
      <c r="H20" s="197" t="str">
        <f>IF(F20=1,"Correct","Incorrect:  The Candid app should be used to report all contractor quality issues, every instances reported is investigated and appropriate action taken so please ensure you use the app whenever required.")</f>
        <v>Incorrect:  The Candid app should be used to report all contractor quality issues, every instances reported is investigated and appropriate action taken so please ensure you use the app whenever required.</v>
      </c>
    </row>
    <row r="21" spans="2:8" x14ac:dyDescent="0.25">
      <c r="B21" s="47"/>
      <c r="C21" s="72" t="s">
        <v>43</v>
      </c>
      <c r="D21" s="69" t="s">
        <v>479</v>
      </c>
      <c r="E21" s="192"/>
      <c r="F21" s="195"/>
      <c r="G21" s="195"/>
      <c r="H21" s="198"/>
    </row>
    <row r="22" spans="2:8" x14ac:dyDescent="0.25">
      <c r="B22" s="47"/>
      <c r="C22" s="72" t="s">
        <v>44</v>
      </c>
      <c r="D22" s="86" t="s">
        <v>480</v>
      </c>
      <c r="E22" s="192"/>
      <c r="F22" s="195"/>
      <c r="G22" s="195"/>
      <c r="H22" s="198"/>
    </row>
    <row r="23" spans="2:8" ht="15.75" thickBot="1" x14ac:dyDescent="0.3">
      <c r="B23" s="48"/>
      <c r="C23" s="75" t="s">
        <v>45</v>
      </c>
      <c r="D23" s="88" t="s">
        <v>481</v>
      </c>
      <c r="E23" s="193"/>
      <c r="F23" s="195"/>
      <c r="G23" s="196"/>
      <c r="H23" s="214"/>
    </row>
    <row r="24" spans="2:8" x14ac:dyDescent="0.25">
      <c r="B24" s="46">
        <v>5</v>
      </c>
      <c r="C24" s="101" t="s">
        <v>482</v>
      </c>
      <c r="D24" s="85"/>
      <c r="E24" s="191"/>
      <c r="F24" s="194" t="str">
        <f t="shared" ref="F24" si="3">IF(E24="","",IF(G24=E24,1,0))</f>
        <v/>
      </c>
      <c r="G24" s="194" t="s">
        <v>44</v>
      </c>
      <c r="H24" s="197" t="str">
        <f>IF(F24=1,"Correct","Incorrect:  You can install 3rd party apps from the app store, but only approved 3rd party apps can be installed using the allowedapps app.")</f>
        <v>Incorrect:  You can install 3rd party apps from the app store, but only approved 3rd party apps can be installed using the allowedapps app.</v>
      </c>
    </row>
    <row r="25" spans="2:8" x14ac:dyDescent="0.25">
      <c r="B25" s="47"/>
      <c r="C25" s="72" t="s">
        <v>43</v>
      </c>
      <c r="D25" s="86" t="s">
        <v>483</v>
      </c>
      <c r="E25" s="192"/>
      <c r="F25" s="195"/>
      <c r="G25" s="195"/>
      <c r="H25" s="198"/>
    </row>
    <row r="26" spans="2:8" x14ac:dyDescent="0.25">
      <c r="B26" s="47"/>
      <c r="C26" s="72" t="s">
        <v>44</v>
      </c>
      <c r="D26" s="91" t="s">
        <v>484</v>
      </c>
      <c r="E26" s="192"/>
      <c r="F26" s="195"/>
      <c r="G26" s="195"/>
      <c r="H26" s="198"/>
    </row>
    <row r="27" spans="2:8" ht="15.75" thickBot="1" x14ac:dyDescent="0.3">
      <c r="B27" s="48"/>
      <c r="C27" s="75" t="s">
        <v>45</v>
      </c>
      <c r="D27" s="88" t="s">
        <v>485</v>
      </c>
      <c r="E27" s="193"/>
      <c r="F27" s="195"/>
      <c r="G27" s="196"/>
      <c r="H27" s="214"/>
    </row>
    <row r="28" spans="2:8" x14ac:dyDescent="0.25">
      <c r="B28" s="46">
        <v>6</v>
      </c>
      <c r="C28" s="101" t="s">
        <v>486</v>
      </c>
      <c r="D28" s="85"/>
      <c r="E28" s="191"/>
      <c r="F28" s="194" t="str">
        <f t="shared" ref="F28" si="4">IF(E28="","",IF(G28=E28,1,0))</f>
        <v/>
      </c>
      <c r="G28" s="194" t="s">
        <v>45</v>
      </c>
      <c r="H28" s="197" t="str">
        <f>IF(F28=1,"Correct","Incorrect:  The best way to store all contacts on your iphone is to use the contacts tab in Good as this synchronises with Outlook on your laptop and is backed up so any numbers you have saved"&amp;" in outlook on your laptop can be automatically transferred to your phone.")</f>
        <v>Incorrect:  The best way to store all contacts on your iphone is to use the contacts tab in Good as this synchronises with Outlook on your laptop and is backed up so any numbers you have saved in outlook on your laptop can be automatically transferred to your phone.</v>
      </c>
    </row>
    <row r="29" spans="2:8" x14ac:dyDescent="0.25">
      <c r="B29" s="47"/>
      <c r="C29" s="72" t="s">
        <v>43</v>
      </c>
      <c r="D29" s="86" t="s">
        <v>487</v>
      </c>
      <c r="E29" s="192"/>
      <c r="F29" s="195"/>
      <c r="G29" s="195"/>
      <c r="H29" s="198"/>
    </row>
    <row r="30" spans="2:8" x14ac:dyDescent="0.25">
      <c r="B30" s="47"/>
      <c r="C30" s="72" t="s">
        <v>44</v>
      </c>
      <c r="D30" s="69" t="s">
        <v>488</v>
      </c>
      <c r="E30" s="192"/>
      <c r="F30" s="195"/>
      <c r="G30" s="195"/>
      <c r="H30" s="198"/>
    </row>
    <row r="31" spans="2:8" ht="15.75" thickBot="1" x14ac:dyDescent="0.3">
      <c r="B31" s="48"/>
      <c r="C31" s="75" t="s">
        <v>45</v>
      </c>
      <c r="D31" s="88" t="s">
        <v>489</v>
      </c>
      <c r="E31" s="193"/>
      <c r="F31" s="195"/>
      <c r="G31" s="196"/>
      <c r="H31" s="214"/>
    </row>
    <row r="32" spans="2:8" x14ac:dyDescent="0.25">
      <c r="B32" s="46">
        <v>7</v>
      </c>
      <c r="C32" s="101" t="s">
        <v>490</v>
      </c>
      <c r="D32" s="85"/>
      <c r="E32" s="191"/>
      <c r="F32" s="194" t="str">
        <f t="shared" ref="F32" si="5">IF(E32="","",IF(G32=E32,1,0))</f>
        <v/>
      </c>
      <c r="G32" s="194" t="s">
        <v>44</v>
      </c>
      <c r="H32" s="197" t="str">
        <f>IF(F32=1,"Correct","Incorrect:  If you Activate then deactivate airplane mode in the settings or by swiping up from the bottom of the phone, this can quickly resolve VPN issues. Note:  You will need to rerun the VPN app after doing this.")</f>
        <v>Incorrect:  If you Activate then deactivate airplane mode in the settings or by swiping up from the bottom of the phone, this can quickly resolve VPN issues. Note:  You will need to rerun the VPN app after doing this.</v>
      </c>
    </row>
    <row r="33" spans="2:8" x14ac:dyDescent="0.25">
      <c r="B33" s="47"/>
      <c r="C33" s="72" t="s">
        <v>43</v>
      </c>
      <c r="D33" s="69" t="s">
        <v>473</v>
      </c>
      <c r="E33" s="192"/>
      <c r="F33" s="195"/>
      <c r="G33" s="195"/>
      <c r="H33" s="198"/>
    </row>
    <row r="34" spans="2:8" x14ac:dyDescent="0.25">
      <c r="B34" s="47"/>
      <c r="C34" s="72" t="s">
        <v>44</v>
      </c>
      <c r="D34" s="86" t="s">
        <v>491</v>
      </c>
      <c r="E34" s="192"/>
      <c r="F34" s="195"/>
      <c r="G34" s="195"/>
      <c r="H34" s="198"/>
    </row>
    <row r="35" spans="2:8" ht="15.75" thickBot="1" x14ac:dyDescent="0.3">
      <c r="B35" s="48"/>
      <c r="C35" s="75" t="s">
        <v>45</v>
      </c>
      <c r="D35" s="88" t="s">
        <v>327</v>
      </c>
      <c r="E35" s="193"/>
      <c r="F35" s="195"/>
      <c r="G35" s="196"/>
      <c r="H35" s="214"/>
    </row>
    <row r="36" spans="2:8" x14ac:dyDescent="0.25">
      <c r="B36" s="46">
        <v>8</v>
      </c>
      <c r="C36" s="102" t="s">
        <v>492</v>
      </c>
      <c r="D36" s="85"/>
      <c r="E36" s="191"/>
      <c r="F36" s="194" t="str">
        <f t="shared" ref="F36" si="6">IF(E36="","",IF(G36=E36,1,0))</f>
        <v/>
      </c>
      <c r="G36" s="194" t="s">
        <v>43</v>
      </c>
      <c r="H36" s="197" t="str">
        <f>IF(F36=1,"Correct","Incorrect:  If you cant find a solution using Fixit, you should first give a gold user a call, in many instances they will be able to help you and this is the preffered first option as calls to the helpdesk cost Openreach each instance.")</f>
        <v>Incorrect:  If you cant find a solution using Fixit, you should first give a gold user a call, in many instances they will be able to help you and this is the preffered first option as calls to the helpdesk cost Openreach each instance.</v>
      </c>
    </row>
    <row r="37" spans="2:8" x14ac:dyDescent="0.25">
      <c r="B37" s="47"/>
      <c r="C37" s="72" t="s">
        <v>43</v>
      </c>
      <c r="D37" s="69" t="s">
        <v>493</v>
      </c>
      <c r="E37" s="192"/>
      <c r="F37" s="195"/>
      <c r="G37" s="195"/>
      <c r="H37" s="198"/>
    </row>
    <row r="38" spans="2:8" x14ac:dyDescent="0.25">
      <c r="B38" s="47"/>
      <c r="C38" s="72" t="s">
        <v>44</v>
      </c>
      <c r="D38" s="86" t="s">
        <v>327</v>
      </c>
      <c r="E38" s="192"/>
      <c r="F38" s="195"/>
      <c r="G38" s="195"/>
      <c r="H38" s="198"/>
    </row>
    <row r="39" spans="2:8" ht="15.75" thickBot="1" x14ac:dyDescent="0.3">
      <c r="B39" s="48"/>
      <c r="C39" s="75" t="s">
        <v>45</v>
      </c>
      <c r="D39" s="88" t="s">
        <v>334</v>
      </c>
      <c r="E39" s="193"/>
      <c r="F39" s="195"/>
      <c r="G39" s="196"/>
      <c r="H39" s="214"/>
    </row>
    <row r="40" spans="2:8" x14ac:dyDescent="0.25">
      <c r="B40" s="46">
        <v>9</v>
      </c>
      <c r="C40" s="101" t="s">
        <v>494</v>
      </c>
      <c r="D40" s="85"/>
      <c r="E40" s="191"/>
      <c r="F40" s="194" t="str">
        <f t="shared" ref="F40" si="7">IF(E40="","",IF(G40=E40,1,0))</f>
        <v/>
      </c>
      <c r="G40" s="194" t="s">
        <v>45</v>
      </c>
      <c r="H40" s="197" t="str">
        <f>IF(F40=1,"Correct","Incorrect:  If your mobile is lost or stolen you should first Contact BT Security on 0800 321 999, once its reported and logged you can then let your manager know.")</f>
        <v>Incorrect:  If your mobile is lost or stolen you should first Contact BT Security on 0800 321 999, once its reported and logged you can then let your manager know.</v>
      </c>
    </row>
    <row r="41" spans="2:8" x14ac:dyDescent="0.25">
      <c r="B41" s="47"/>
      <c r="C41" s="72" t="s">
        <v>43</v>
      </c>
      <c r="D41" s="69" t="s">
        <v>495</v>
      </c>
      <c r="E41" s="192"/>
      <c r="F41" s="195"/>
      <c r="G41" s="195"/>
      <c r="H41" s="198"/>
    </row>
    <row r="42" spans="2:8" x14ac:dyDescent="0.25">
      <c r="B42" s="47"/>
      <c r="C42" s="72" t="s">
        <v>44</v>
      </c>
      <c r="D42" s="86" t="s">
        <v>327</v>
      </c>
      <c r="E42" s="192"/>
      <c r="F42" s="195"/>
      <c r="G42" s="195"/>
      <c r="H42" s="198"/>
    </row>
    <row r="43" spans="2:8" ht="15.75" thickBot="1" x14ac:dyDescent="0.3">
      <c r="B43" s="48"/>
      <c r="C43" s="75" t="s">
        <v>45</v>
      </c>
      <c r="D43" s="88" t="s">
        <v>496</v>
      </c>
      <c r="E43" s="193"/>
      <c r="F43" s="195"/>
      <c r="G43" s="196"/>
      <c r="H43" s="214"/>
    </row>
    <row r="44" spans="2:8" x14ac:dyDescent="0.25">
      <c r="B44" s="46">
        <v>10</v>
      </c>
      <c r="C44" s="101" t="s">
        <v>497</v>
      </c>
      <c r="D44" s="85"/>
      <c r="E44" s="191"/>
      <c r="F44" s="194" t="str">
        <f t="shared" ref="F44" si="8">IF(E44="","",IF(G44=E44,1,0))</f>
        <v/>
      </c>
      <c r="G44" s="194" t="s">
        <v>45</v>
      </c>
      <c r="H44" s="197" t="str">
        <f>IF(F44=1,"Correct","Incorrect:  Copilot has every DP, Cabinet and telephone exchange preprogrammed in for you on your Iphone.")</f>
        <v>Incorrect:  Copilot has every DP, Cabinet and telephone exchange preprogrammed in for you on your Iphone.</v>
      </c>
    </row>
    <row r="45" spans="2:8" x14ac:dyDescent="0.25">
      <c r="B45" s="47"/>
      <c r="C45" s="72" t="s">
        <v>43</v>
      </c>
      <c r="D45" s="69" t="s">
        <v>499</v>
      </c>
      <c r="E45" s="192"/>
      <c r="F45" s="195"/>
      <c r="G45" s="195"/>
      <c r="H45" s="198"/>
    </row>
    <row r="46" spans="2:8" x14ac:dyDescent="0.25">
      <c r="B46" s="47"/>
      <c r="C46" s="72" t="s">
        <v>44</v>
      </c>
      <c r="D46" s="86" t="s">
        <v>500</v>
      </c>
      <c r="E46" s="192"/>
      <c r="F46" s="195"/>
      <c r="G46" s="195"/>
      <c r="H46" s="198"/>
    </row>
    <row r="47" spans="2:8" ht="15.75" thickBot="1" x14ac:dyDescent="0.3">
      <c r="B47" s="48"/>
      <c r="C47" s="75" t="s">
        <v>45</v>
      </c>
      <c r="D47" s="88" t="s">
        <v>501</v>
      </c>
      <c r="E47" s="193"/>
      <c r="F47" s="195"/>
      <c r="G47" s="196"/>
      <c r="H47" s="214"/>
    </row>
    <row r="48" spans="2:8" x14ac:dyDescent="0.25">
      <c r="B48" s="46">
        <v>11</v>
      </c>
      <c r="C48" s="101" t="s">
        <v>502</v>
      </c>
      <c r="D48" s="85"/>
      <c r="E48" s="191"/>
      <c r="F48" s="194" t="str">
        <f t="shared" ref="F48" si="9">IF(E48="","",IF(G48=E48,1,0))</f>
        <v/>
      </c>
      <c r="G48" s="194" t="s">
        <v>44</v>
      </c>
      <c r="H48" s="197" t="str">
        <f>IF(F48=1,"Correct","Incorrect:  The Media store contains tons of useful information, instructional videos, app user guides and process guides at the tap of your finger.")</f>
        <v>Incorrect:  The Media store contains tons of useful information, instructional videos, app user guides and process guides at the tap of your finger.</v>
      </c>
    </row>
    <row r="49" spans="2:8" x14ac:dyDescent="0.25">
      <c r="B49" s="47"/>
      <c r="C49" s="72" t="s">
        <v>43</v>
      </c>
      <c r="D49" s="69" t="s">
        <v>479</v>
      </c>
      <c r="E49" s="192"/>
      <c r="F49" s="195"/>
      <c r="G49" s="195"/>
      <c r="H49" s="198"/>
    </row>
    <row r="50" spans="2:8" x14ac:dyDescent="0.25">
      <c r="B50" s="47"/>
      <c r="C50" s="72" t="s">
        <v>44</v>
      </c>
      <c r="D50" s="86" t="s">
        <v>503</v>
      </c>
      <c r="E50" s="192"/>
      <c r="F50" s="195"/>
      <c r="G50" s="195"/>
      <c r="H50" s="198"/>
    </row>
    <row r="51" spans="2:8" ht="15.75" thickBot="1" x14ac:dyDescent="0.3">
      <c r="B51" s="48"/>
      <c r="C51" s="75" t="s">
        <v>45</v>
      </c>
      <c r="D51" s="88" t="s">
        <v>498</v>
      </c>
      <c r="E51" s="193"/>
      <c r="F51" s="195"/>
      <c r="G51" s="196"/>
      <c r="H51" s="214"/>
    </row>
    <row r="52" spans="2:8" ht="15" customHeight="1" x14ac:dyDescent="0.25">
      <c r="B52" s="46">
        <v>12</v>
      </c>
      <c r="C52" s="215" t="s">
        <v>504</v>
      </c>
      <c r="D52" s="216"/>
      <c r="E52" s="191"/>
      <c r="F52" s="194" t="str">
        <f t="shared" ref="F52" si="10">IF(E52="","",IF(G52=E52,1,0))</f>
        <v/>
      </c>
      <c r="G52" s="194" t="s">
        <v>44</v>
      </c>
      <c r="H52" s="197" t="str">
        <f>IF(F52=1,"Correct","Incorrect:  The FixIT app on your Iphone gives you immediate access to most common issues you will come across saving you the need to contact the helpdesk.")</f>
        <v>Incorrect:  The FixIT app on your Iphone gives you immediate access to most common issues you will come across saving you the need to contact the helpdesk.</v>
      </c>
    </row>
    <row r="53" spans="2:8" x14ac:dyDescent="0.25">
      <c r="B53" s="47"/>
      <c r="C53" s="72" t="s">
        <v>43</v>
      </c>
      <c r="D53" s="69" t="s">
        <v>498</v>
      </c>
      <c r="E53" s="192"/>
      <c r="F53" s="195"/>
      <c r="G53" s="195"/>
      <c r="H53" s="198"/>
    </row>
    <row r="54" spans="2:8" x14ac:dyDescent="0.25">
      <c r="B54" s="47"/>
      <c r="C54" s="72" t="s">
        <v>44</v>
      </c>
      <c r="D54" s="86" t="s">
        <v>505</v>
      </c>
      <c r="E54" s="192"/>
      <c r="F54" s="195"/>
      <c r="G54" s="195"/>
      <c r="H54" s="198"/>
    </row>
    <row r="55" spans="2:8" ht="15.75" thickBot="1" x14ac:dyDescent="0.3">
      <c r="B55" s="48"/>
      <c r="C55" s="75" t="s">
        <v>45</v>
      </c>
      <c r="D55" s="88" t="s">
        <v>506</v>
      </c>
      <c r="E55" s="193"/>
      <c r="F55" s="195"/>
      <c r="G55" s="196"/>
      <c r="H55" s="214"/>
    </row>
    <row r="56" spans="2:8" x14ac:dyDescent="0.25">
      <c r="B56" s="46">
        <v>13</v>
      </c>
      <c r="C56" s="101" t="s">
        <v>507</v>
      </c>
      <c r="D56" s="85"/>
      <c r="E56" s="191"/>
      <c r="F56" s="194" t="str">
        <f t="shared" ref="F56" si="11">IF(E56="","",IF(G56=E56,1,0))</f>
        <v/>
      </c>
      <c r="G56" s="194" t="s">
        <v>43</v>
      </c>
      <c r="H56" s="197" t="str">
        <f>IF(F56=1,"Correct","Incorrect:  The FEN app gives you current and back issues of the Field Engineering News available to view whenever you wish.")</f>
        <v>Incorrect:  The FEN app gives you current and back issues of the Field Engineering News available to view whenever you wish.</v>
      </c>
    </row>
    <row r="57" spans="2:8" x14ac:dyDescent="0.25">
      <c r="B57" s="47"/>
      <c r="C57" s="72" t="s">
        <v>43</v>
      </c>
      <c r="D57" s="69" t="s">
        <v>508</v>
      </c>
      <c r="E57" s="192"/>
      <c r="F57" s="195"/>
      <c r="G57" s="195"/>
      <c r="H57" s="198"/>
    </row>
    <row r="58" spans="2:8" x14ac:dyDescent="0.25">
      <c r="B58" s="47"/>
      <c r="C58" s="72" t="s">
        <v>44</v>
      </c>
      <c r="D58" s="86" t="s">
        <v>503</v>
      </c>
      <c r="E58" s="192"/>
      <c r="F58" s="195"/>
      <c r="G58" s="195"/>
      <c r="H58" s="198"/>
    </row>
    <row r="59" spans="2:8" ht="15.75" thickBot="1" x14ac:dyDescent="0.3">
      <c r="B59" s="48"/>
      <c r="C59" s="75" t="s">
        <v>45</v>
      </c>
      <c r="D59" s="88" t="s">
        <v>499</v>
      </c>
      <c r="E59" s="193"/>
      <c r="F59" s="195"/>
      <c r="G59" s="196"/>
      <c r="H59" s="214"/>
    </row>
    <row r="60" spans="2:8" x14ac:dyDescent="0.25">
      <c r="B60" s="46">
        <v>14</v>
      </c>
      <c r="C60" s="101" t="s">
        <v>509</v>
      </c>
      <c r="D60" s="85"/>
      <c r="E60" s="191"/>
      <c r="F60" s="194" t="str">
        <f t="shared" ref="F60" si="12">IF(E60="","",IF(G60=E60,1,0))</f>
        <v/>
      </c>
      <c r="G60" s="194" t="s">
        <v>43</v>
      </c>
      <c r="H60" s="197" t="str">
        <f>IF(F60=1,"Correct","Incorrect:  The Damage app can be used to take photographic evidence for damage caused to our Network.")</f>
        <v>Incorrect:  The Damage app can be used to take photographic evidence for damage caused to our Network.</v>
      </c>
    </row>
    <row r="61" spans="2:8" x14ac:dyDescent="0.25">
      <c r="B61" s="47"/>
      <c r="C61" s="72" t="s">
        <v>43</v>
      </c>
      <c r="D61" s="69" t="s">
        <v>579</v>
      </c>
      <c r="E61" s="192"/>
      <c r="F61" s="195"/>
      <c r="G61" s="195"/>
      <c r="H61" s="198"/>
    </row>
    <row r="62" spans="2:8" x14ac:dyDescent="0.25">
      <c r="B62" s="47"/>
      <c r="C62" s="72" t="s">
        <v>44</v>
      </c>
      <c r="D62" s="86" t="s">
        <v>511</v>
      </c>
      <c r="E62" s="192"/>
      <c r="F62" s="195"/>
      <c r="G62" s="195"/>
      <c r="H62" s="198"/>
    </row>
    <row r="63" spans="2:8" ht="15.75" thickBot="1" x14ac:dyDescent="0.3">
      <c r="B63" s="48"/>
      <c r="C63" s="75" t="s">
        <v>45</v>
      </c>
      <c r="D63" s="88" t="s">
        <v>513</v>
      </c>
      <c r="E63" s="193"/>
      <c r="F63" s="195"/>
      <c r="G63" s="196"/>
      <c r="H63" s="214"/>
    </row>
    <row r="64" spans="2:8" x14ac:dyDescent="0.25">
      <c r="B64" s="46">
        <v>15</v>
      </c>
      <c r="C64" s="101" t="s">
        <v>514</v>
      </c>
      <c r="D64" s="85"/>
      <c r="E64" s="191"/>
      <c r="F64" s="194" t="str">
        <f t="shared" ref="F64" si="13">IF(E64="","",IF(G64=E64,1,0))</f>
        <v/>
      </c>
      <c r="G64" s="194" t="s">
        <v>44</v>
      </c>
      <c r="H64" s="197" t="str">
        <f>IF(F64=1,"Correct","Incorrect:  You can use the 'Perm to Dig' app when you need to provide evidence of a customer giving their permission to dig on their property to the dig team.")</f>
        <v>Incorrect:  You can use the 'Perm to Dig' app when you need to provide evidence of a customer giving their permission to dig on their property to the dig team.</v>
      </c>
    </row>
    <row r="65" spans="2:8" x14ac:dyDescent="0.25">
      <c r="B65" s="47"/>
      <c r="C65" s="72" t="s">
        <v>43</v>
      </c>
      <c r="D65" s="69" t="s">
        <v>510</v>
      </c>
      <c r="E65" s="192"/>
      <c r="F65" s="195"/>
      <c r="G65" s="195"/>
      <c r="H65" s="198"/>
    </row>
    <row r="66" spans="2:8" x14ac:dyDescent="0.25">
      <c r="B66" s="47"/>
      <c r="C66" s="72" t="s">
        <v>44</v>
      </c>
      <c r="D66" s="86" t="s">
        <v>515</v>
      </c>
      <c r="E66" s="192"/>
      <c r="F66" s="195"/>
      <c r="G66" s="195"/>
      <c r="H66" s="198"/>
    </row>
    <row r="67" spans="2:8" ht="15.75" thickBot="1" x14ac:dyDescent="0.3">
      <c r="B67" s="48"/>
      <c r="C67" s="75" t="s">
        <v>45</v>
      </c>
      <c r="D67" s="88" t="s">
        <v>512</v>
      </c>
      <c r="E67" s="193"/>
      <c r="F67" s="195"/>
      <c r="G67" s="196"/>
      <c r="H67" s="214"/>
    </row>
    <row r="68" spans="2:8" ht="23.1" customHeight="1" x14ac:dyDescent="0.25">
      <c r="B68" s="46">
        <v>16</v>
      </c>
      <c r="C68" s="101" t="s">
        <v>797</v>
      </c>
      <c r="D68" s="85"/>
      <c r="E68" s="191"/>
      <c r="F68" s="194" t="str">
        <f t="shared" ref="F68" si="14">IF(E68="","",IF(G68=E68,1,0))</f>
        <v/>
      </c>
      <c r="G68" s="194" t="s">
        <v>45</v>
      </c>
      <c r="H68" s="197" t="str">
        <f>IF(F68=1,"Correct","Incorrect:  When your Iphone needs a software update you can do this yourself when appropriate by navigating from the Home screen to 'Settings', 'General', 'Software Update' and then following the options from there. "&amp;" Note:  This may take several minutes and will require a WIFI signal, you will also need at least 50% battery life or need to plug your phone into charge before commencing update.")</f>
        <v>Incorrect:  When your Iphone needs a software update you can do this yourself when appropriate by navigating from the Home screen to 'Settings', 'General', 'Software Update' and then following the options from there.  Note:  This may take several minutes and will require a WIFI signal, you will also need at least 50% battery life or need to plug your phone into charge before commencing update.</v>
      </c>
    </row>
    <row r="69" spans="2:8" ht="23.1" customHeight="1" x14ac:dyDescent="0.25">
      <c r="B69" s="47"/>
      <c r="C69" s="72" t="s">
        <v>43</v>
      </c>
      <c r="D69" s="69" t="s">
        <v>327</v>
      </c>
      <c r="E69" s="192"/>
      <c r="F69" s="195"/>
      <c r="G69" s="195"/>
      <c r="H69" s="198"/>
    </row>
    <row r="70" spans="2:8" ht="23.1" customHeight="1" x14ac:dyDescent="0.25">
      <c r="B70" s="47"/>
      <c r="C70" s="72" t="s">
        <v>44</v>
      </c>
      <c r="D70" s="86" t="s">
        <v>516</v>
      </c>
      <c r="E70" s="192"/>
      <c r="F70" s="195"/>
      <c r="G70" s="195"/>
      <c r="H70" s="198"/>
    </row>
    <row r="71" spans="2:8" ht="23.1" customHeight="1" thickBot="1" x14ac:dyDescent="0.3">
      <c r="B71" s="48"/>
      <c r="C71" s="75" t="s">
        <v>45</v>
      </c>
      <c r="D71" s="88" t="s">
        <v>517</v>
      </c>
      <c r="E71" s="193"/>
      <c r="F71" s="195"/>
      <c r="G71" s="196"/>
      <c r="H71" s="214"/>
    </row>
    <row r="72" spans="2:8" x14ac:dyDescent="0.25">
      <c r="B72" s="46">
        <v>17</v>
      </c>
      <c r="C72" s="101" t="s">
        <v>520</v>
      </c>
      <c r="D72" s="85"/>
      <c r="E72" s="191"/>
      <c r="F72" s="194" t="str">
        <f t="shared" ref="F72" si="15">IF(E72="","",IF(G72=E72,1,0))</f>
        <v/>
      </c>
      <c r="G72" s="194" t="s">
        <v>45</v>
      </c>
      <c r="H72" s="197" t="str">
        <f>IF(F72=1,"Correct","Incorrect:  Magicmaps can be used to store and retrieve local knowledge pictures and notes to make locating items such as a hidden DP in a store.")</f>
        <v>Incorrect:  Magicmaps can be used to store and retrieve local knowledge pictures and notes to make locating items such as a hidden DP in a store.</v>
      </c>
    </row>
    <row r="73" spans="2:8" x14ac:dyDescent="0.25">
      <c r="B73" s="47"/>
      <c r="C73" s="72" t="s">
        <v>43</v>
      </c>
      <c r="D73" s="69" t="s">
        <v>501</v>
      </c>
      <c r="E73" s="192"/>
      <c r="F73" s="195"/>
      <c r="G73" s="195"/>
      <c r="H73" s="198"/>
    </row>
    <row r="74" spans="2:8" x14ac:dyDescent="0.25">
      <c r="B74" s="47"/>
      <c r="C74" s="72" t="s">
        <v>44</v>
      </c>
      <c r="D74" s="86" t="s">
        <v>518</v>
      </c>
      <c r="E74" s="192"/>
      <c r="F74" s="195"/>
      <c r="G74" s="195"/>
      <c r="H74" s="198"/>
    </row>
    <row r="75" spans="2:8" ht="15.75" thickBot="1" x14ac:dyDescent="0.3">
      <c r="B75" s="48"/>
      <c r="C75" s="75" t="s">
        <v>45</v>
      </c>
      <c r="D75" s="88" t="s">
        <v>519</v>
      </c>
      <c r="E75" s="193"/>
      <c r="F75" s="195"/>
      <c r="G75" s="196"/>
      <c r="H75" s="214"/>
    </row>
    <row r="76" spans="2:8" x14ac:dyDescent="0.25">
      <c r="B76" s="46">
        <v>18</v>
      </c>
      <c r="C76" s="101" t="s">
        <v>768</v>
      </c>
      <c r="D76" s="85"/>
      <c r="E76" s="191"/>
      <c r="F76" s="194" t="str">
        <f t="shared" ref="F76" si="16">IF(E76="","",IF(G76=E76,1,0))</f>
        <v/>
      </c>
      <c r="G76" s="194" t="s">
        <v>43</v>
      </c>
      <c r="H76" s="197" t="str">
        <f>IF(F76=1,"Correct","Incorrect:  You should report the A1024 on your phone using the A1024 app.")</f>
        <v>Incorrect:  You should report the A1024 on your phone using the A1024 app.</v>
      </c>
    </row>
    <row r="77" spans="2:8" x14ac:dyDescent="0.25">
      <c r="B77" s="47"/>
      <c r="C77" s="72" t="s">
        <v>43</v>
      </c>
      <c r="D77" s="69" t="s">
        <v>521</v>
      </c>
      <c r="E77" s="192"/>
      <c r="F77" s="195"/>
      <c r="G77" s="195"/>
      <c r="H77" s="198"/>
    </row>
    <row r="78" spans="2:8" x14ac:dyDescent="0.25">
      <c r="B78" s="47"/>
      <c r="C78" s="72" t="s">
        <v>44</v>
      </c>
      <c r="D78" s="86" t="s">
        <v>522</v>
      </c>
      <c r="E78" s="192"/>
      <c r="F78" s="195"/>
      <c r="G78" s="195"/>
      <c r="H78" s="198"/>
    </row>
    <row r="79" spans="2:8" ht="15.75" thickBot="1" x14ac:dyDescent="0.3">
      <c r="B79" s="48"/>
      <c r="C79" s="75" t="s">
        <v>45</v>
      </c>
      <c r="D79" s="88" t="s">
        <v>523</v>
      </c>
      <c r="E79" s="193"/>
      <c r="F79" s="195"/>
      <c r="G79" s="196"/>
      <c r="H79" s="214"/>
    </row>
    <row r="80" spans="2:8" x14ac:dyDescent="0.25">
      <c r="B80" s="46">
        <v>19</v>
      </c>
      <c r="C80" s="101" t="s">
        <v>769</v>
      </c>
      <c r="D80" s="85"/>
      <c r="E80" s="191"/>
      <c r="F80" s="194" t="str">
        <f t="shared" ref="F80" si="17">IF(E80="","",IF(G80=E80,1,0))</f>
        <v/>
      </c>
      <c r="G80" s="194" t="s">
        <v>44</v>
      </c>
      <c r="H80" s="197" t="str">
        <f>IF(F80=1,"Correct","Incorrect:  When you have a good measure from your location, you can enter these details into magicmaps which will then allow you to walk the cable route using magicmaps to take you to the location to help you better locate a fault.")</f>
        <v>Incorrect:  When you have a good measure from your location, you can enter these details into magicmaps which will then allow you to walk the cable route using magicmaps to take you to the location to help you better locate a fault.</v>
      </c>
    </row>
    <row r="81" spans="2:8" x14ac:dyDescent="0.25">
      <c r="B81" s="47"/>
      <c r="C81" s="72" t="s">
        <v>43</v>
      </c>
      <c r="D81" s="69" t="s">
        <v>524</v>
      </c>
      <c r="E81" s="192"/>
      <c r="F81" s="195"/>
      <c r="G81" s="195"/>
      <c r="H81" s="198"/>
    </row>
    <row r="82" spans="2:8" x14ac:dyDescent="0.25">
      <c r="B82" s="47"/>
      <c r="C82" s="72" t="s">
        <v>44</v>
      </c>
      <c r="D82" s="86" t="s">
        <v>525</v>
      </c>
      <c r="E82" s="192"/>
      <c r="F82" s="195"/>
      <c r="G82" s="195"/>
      <c r="H82" s="198"/>
    </row>
    <row r="83" spans="2:8" ht="15.75" thickBot="1" x14ac:dyDescent="0.3">
      <c r="B83" s="48"/>
      <c r="C83" s="75" t="s">
        <v>45</v>
      </c>
      <c r="D83" s="88" t="s">
        <v>770</v>
      </c>
      <c r="E83" s="193"/>
      <c r="F83" s="195"/>
      <c r="G83" s="196"/>
      <c r="H83" s="214"/>
    </row>
    <row r="84" spans="2:8" x14ac:dyDescent="0.25">
      <c r="B84" s="46">
        <v>20</v>
      </c>
      <c r="C84" s="101" t="s">
        <v>771</v>
      </c>
      <c r="D84" s="85"/>
      <c r="E84" s="191"/>
      <c r="F84" s="194" t="str">
        <f t="shared" ref="F84" si="18">IF(E84="","",IF(G84=E84,1,0))</f>
        <v/>
      </c>
      <c r="G84" s="194" t="s">
        <v>44</v>
      </c>
      <c r="H84" s="197" t="str">
        <f>IF(F84=1,"Correct","Incorrect:  You can use the reward app on your Iphone to send a thankyou to anyone in the company.")</f>
        <v>Incorrect:  You can use the reward app on your Iphone to send a thankyou to anyone in the company.</v>
      </c>
    </row>
    <row r="85" spans="2:8" x14ac:dyDescent="0.25">
      <c r="B85" s="47"/>
      <c r="C85" s="72" t="s">
        <v>43</v>
      </c>
      <c r="D85" s="69" t="s">
        <v>526</v>
      </c>
      <c r="E85" s="192"/>
      <c r="F85" s="195"/>
      <c r="G85" s="195"/>
      <c r="H85" s="198"/>
    </row>
    <row r="86" spans="2:8" x14ac:dyDescent="0.25">
      <c r="B86" s="47"/>
      <c r="C86" s="72" t="s">
        <v>44</v>
      </c>
      <c r="D86" s="86" t="s">
        <v>527</v>
      </c>
      <c r="E86" s="192"/>
      <c r="F86" s="195"/>
      <c r="G86" s="195"/>
      <c r="H86" s="198"/>
    </row>
    <row r="87" spans="2:8" ht="15.75" thickBot="1" x14ac:dyDescent="0.3">
      <c r="B87" s="48"/>
      <c r="C87" s="75" t="s">
        <v>45</v>
      </c>
      <c r="D87" s="88" t="s">
        <v>528</v>
      </c>
      <c r="E87" s="193"/>
      <c r="F87" s="195"/>
      <c r="G87" s="196"/>
      <c r="H87" s="214"/>
    </row>
    <row r="88" spans="2:8" x14ac:dyDescent="0.25">
      <c r="B88" s="46">
        <v>21</v>
      </c>
      <c r="C88" s="101" t="s">
        <v>529</v>
      </c>
      <c r="D88" s="85"/>
      <c r="E88" s="191"/>
      <c r="F88" s="194" t="str">
        <f t="shared" ref="F88" si="19">IF(E88="","",IF(G88=E88,1,0))</f>
        <v/>
      </c>
      <c r="G88" s="194" t="s">
        <v>44</v>
      </c>
      <c r="H88" s="197" t="str">
        <f>IF(F88=1,"Correct","Incorrect:  You can listen to reach365 using the app on your iphone, pair it up with the bluetooth in your vehicle and take it with you on the move.")</f>
        <v>Incorrect:  You can listen to reach365 using the app on your iphone, pair it up with the bluetooth in your vehicle and take it with you on the move.</v>
      </c>
    </row>
    <row r="89" spans="2:8" x14ac:dyDescent="0.25">
      <c r="B89" s="47"/>
      <c r="C89" s="72" t="s">
        <v>43</v>
      </c>
      <c r="D89" s="69" t="s">
        <v>530</v>
      </c>
      <c r="E89" s="192"/>
      <c r="F89" s="195"/>
      <c r="G89" s="195"/>
      <c r="H89" s="198"/>
    </row>
    <row r="90" spans="2:8" x14ac:dyDescent="0.25">
      <c r="B90" s="47"/>
      <c r="C90" s="72" t="s">
        <v>44</v>
      </c>
      <c r="D90" s="86" t="s">
        <v>531</v>
      </c>
      <c r="E90" s="192"/>
      <c r="F90" s="195"/>
      <c r="G90" s="195"/>
      <c r="H90" s="198"/>
    </row>
    <row r="91" spans="2:8" ht="15.75" thickBot="1" x14ac:dyDescent="0.3">
      <c r="B91" s="48"/>
      <c r="C91" s="75" t="s">
        <v>45</v>
      </c>
      <c r="D91" s="88" t="s">
        <v>532</v>
      </c>
      <c r="E91" s="193"/>
      <c r="F91" s="195"/>
      <c r="G91" s="196"/>
      <c r="H91" s="214"/>
    </row>
    <row r="92" spans="2:8" x14ac:dyDescent="0.25">
      <c r="B92" s="46">
        <v>22</v>
      </c>
      <c r="C92" s="101" t="s">
        <v>533</v>
      </c>
      <c r="D92" s="85"/>
      <c r="E92" s="191"/>
      <c r="F92" s="194" t="str">
        <f t="shared" ref="F92" si="20">IF(E92="","",IF(G92=E92,1,0))</f>
        <v/>
      </c>
      <c r="G92" s="194" t="s">
        <v>45</v>
      </c>
      <c r="H92" s="197" t="str">
        <f>IF(F92=1,"Correct","Incorrect:  Answer C, the app can be used to view loop articles as well as a social media site for BT group emloyees.")</f>
        <v>Incorrect:  Answer C, the app can be used to view loop articles as well as a social media site for BT group emloyees.</v>
      </c>
    </row>
    <row r="93" spans="2:8" x14ac:dyDescent="0.25">
      <c r="B93" s="47"/>
      <c r="C93" s="72" t="s">
        <v>43</v>
      </c>
      <c r="D93" s="69" t="s">
        <v>534</v>
      </c>
      <c r="E93" s="192"/>
      <c r="F93" s="195"/>
      <c r="G93" s="195"/>
      <c r="H93" s="198"/>
    </row>
    <row r="94" spans="2:8" x14ac:dyDescent="0.25">
      <c r="B94" s="47"/>
      <c r="C94" s="72" t="s">
        <v>44</v>
      </c>
      <c r="D94" s="86" t="s">
        <v>772</v>
      </c>
      <c r="E94" s="192"/>
      <c r="F94" s="195"/>
      <c r="G94" s="195"/>
      <c r="H94" s="198"/>
    </row>
    <row r="95" spans="2:8" ht="15.75" thickBot="1" x14ac:dyDescent="0.3">
      <c r="B95" s="48"/>
      <c r="C95" s="75" t="s">
        <v>45</v>
      </c>
      <c r="D95" s="88" t="s">
        <v>535</v>
      </c>
      <c r="E95" s="193"/>
      <c r="F95" s="195"/>
      <c r="G95" s="196"/>
      <c r="H95" s="214"/>
    </row>
    <row r="96" spans="2:8" x14ac:dyDescent="0.25">
      <c r="B96" s="46">
        <v>23</v>
      </c>
      <c r="C96" s="101" t="s">
        <v>536</v>
      </c>
      <c r="D96" s="85"/>
      <c r="E96" s="191"/>
      <c r="F96" s="194" t="str">
        <f t="shared" ref="F96" si="21">IF(E96="","",IF(G96=E96,1,0))</f>
        <v/>
      </c>
      <c r="G96" s="194" t="s">
        <v>44</v>
      </c>
      <c r="H96" s="197" t="str">
        <f>IF(F96=1,"Correct","Incorrect:  You should only update the details on the mydetails app when a change has occurred eg. Your OUC or you are required to update (refreshing the app while signed onto myjobs can cause issues).")</f>
        <v>Incorrect:  You should only update the details on the mydetails app when a change has occurred eg. Your OUC or you are required to update (refreshing the app while signed onto myjobs can cause issues).</v>
      </c>
    </row>
    <row r="97" spans="2:8" x14ac:dyDescent="0.25">
      <c r="B97" s="47"/>
      <c r="C97" s="72" t="s">
        <v>43</v>
      </c>
      <c r="D97" s="69" t="s">
        <v>537</v>
      </c>
      <c r="E97" s="192"/>
      <c r="F97" s="195"/>
      <c r="G97" s="195"/>
      <c r="H97" s="198"/>
    </row>
    <row r="98" spans="2:8" ht="30" customHeight="1" x14ac:dyDescent="0.25">
      <c r="B98" s="47"/>
      <c r="C98" s="72" t="s">
        <v>44</v>
      </c>
      <c r="D98" s="93" t="s">
        <v>538</v>
      </c>
      <c r="E98" s="192"/>
      <c r="F98" s="195"/>
      <c r="G98" s="195"/>
      <c r="H98" s="198"/>
    </row>
    <row r="99" spans="2:8" ht="15.75" thickBot="1" x14ac:dyDescent="0.3">
      <c r="B99" s="48"/>
      <c r="C99" s="75" t="s">
        <v>45</v>
      </c>
      <c r="D99" s="88" t="s">
        <v>539</v>
      </c>
      <c r="E99" s="193"/>
      <c r="F99" s="195"/>
      <c r="G99" s="196"/>
      <c r="H99" s="214"/>
    </row>
    <row r="100" spans="2:8" x14ac:dyDescent="0.25">
      <c r="B100" s="46">
        <v>24</v>
      </c>
      <c r="C100" s="101" t="s">
        <v>541</v>
      </c>
      <c r="D100" s="85"/>
      <c r="E100" s="191"/>
      <c r="F100" s="194" t="str">
        <f t="shared" ref="F100" si="22">IF(E100="","",IF(G100=E100,1,0))</f>
        <v/>
      </c>
      <c r="G100" s="194" t="s">
        <v>43</v>
      </c>
      <c r="H100" s="197" t="str">
        <f>IF(F100=1,"Correct","Incorrect:  On the home screen on your iphone you will find an App Status icon, this will give you information you need on on reported app issues.")</f>
        <v>Incorrect:  On the home screen on your iphone you will find an App Status icon, this will give you information you need on on reported app issues.</v>
      </c>
    </row>
    <row r="101" spans="2:8" x14ac:dyDescent="0.25">
      <c r="B101" s="47"/>
      <c r="C101" s="72" t="s">
        <v>43</v>
      </c>
      <c r="D101" s="69" t="s">
        <v>540</v>
      </c>
      <c r="E101" s="192"/>
      <c r="F101" s="195"/>
      <c r="G101" s="195"/>
      <c r="H101" s="198"/>
    </row>
    <row r="102" spans="2:8" x14ac:dyDescent="0.25">
      <c r="B102" s="47"/>
      <c r="C102" s="72" t="s">
        <v>44</v>
      </c>
      <c r="D102" s="86" t="s">
        <v>327</v>
      </c>
      <c r="E102" s="192"/>
      <c r="F102" s="195"/>
      <c r="G102" s="195"/>
      <c r="H102" s="198"/>
    </row>
    <row r="103" spans="2:8" ht="15.75" thickBot="1" x14ac:dyDescent="0.3">
      <c r="B103" s="48"/>
      <c r="C103" s="75" t="s">
        <v>45</v>
      </c>
      <c r="D103" s="88" t="s">
        <v>325</v>
      </c>
      <c r="E103" s="193"/>
      <c r="F103" s="195"/>
      <c r="G103" s="196"/>
      <c r="H103" s="214"/>
    </row>
    <row r="104" spans="2:8" x14ac:dyDescent="0.25">
      <c r="B104" s="46">
        <v>25</v>
      </c>
      <c r="C104" s="101" t="s">
        <v>542</v>
      </c>
      <c r="D104" s="85"/>
      <c r="E104" s="191"/>
      <c r="F104" s="194" t="str">
        <f t="shared" ref="F104" si="23">IF(E104="","",IF(G104=E104,1,0))</f>
        <v/>
      </c>
      <c r="G104" s="194" t="s">
        <v>43</v>
      </c>
      <c r="H104" s="197" t="str">
        <f>IF(F104=1,"Correct","Incorrect:  You can get the licence info you require by following fixIT, Log onto Good on you’re laptop, or ask your manager and generate a good pin to reinstall.")</f>
        <v>Incorrect:  You can get the licence info you require by following fixIT, Log onto Good on you’re laptop, or ask your manager and generate a good pin to reinstall.</v>
      </c>
    </row>
    <row r="105" spans="2:8" x14ac:dyDescent="0.25">
      <c r="B105" s="47"/>
      <c r="C105" s="72" t="s">
        <v>43</v>
      </c>
      <c r="D105" s="69" t="s">
        <v>543</v>
      </c>
      <c r="E105" s="192"/>
      <c r="F105" s="195"/>
      <c r="G105" s="195"/>
      <c r="H105" s="198"/>
    </row>
    <row r="106" spans="2:8" x14ac:dyDescent="0.25">
      <c r="B106" s="47"/>
      <c r="C106" s="72" t="s">
        <v>44</v>
      </c>
      <c r="D106" s="86" t="s">
        <v>327</v>
      </c>
      <c r="E106" s="192"/>
      <c r="F106" s="195"/>
      <c r="G106" s="195"/>
      <c r="H106" s="198"/>
    </row>
    <row r="107" spans="2:8" ht="15.75" thickBot="1" x14ac:dyDescent="0.3">
      <c r="B107" s="48"/>
      <c r="C107" s="75" t="s">
        <v>45</v>
      </c>
      <c r="D107" s="88" t="s">
        <v>544</v>
      </c>
      <c r="E107" s="193"/>
      <c r="F107" s="196"/>
      <c r="G107" s="196"/>
      <c r="H107" s="214"/>
    </row>
    <row r="109" spans="2:8" ht="15.75" thickBot="1" x14ac:dyDescent="0.3"/>
    <row r="110" spans="2:8" x14ac:dyDescent="0.25">
      <c r="C110" s="205" t="s">
        <v>745</v>
      </c>
      <c r="D110" s="206"/>
      <c r="E110" s="207"/>
    </row>
    <row r="111" spans="2:8" x14ac:dyDescent="0.25">
      <c r="C111" s="208"/>
      <c r="D111" s="209"/>
      <c r="E111" s="210"/>
    </row>
    <row r="112" spans="2:8" ht="15.75" thickBot="1" x14ac:dyDescent="0.3">
      <c r="C112" s="211"/>
      <c r="D112" s="212"/>
      <c r="E112" s="213"/>
    </row>
  </sheetData>
  <sheetProtection sheet="1" objects="1" scenarios="1" selectLockedCells="1"/>
  <mergeCells count="103">
    <mergeCell ref="C110:E112"/>
    <mergeCell ref="E104:E107"/>
    <mergeCell ref="F104:F107"/>
    <mergeCell ref="G104:G107"/>
    <mergeCell ref="H104:H107"/>
    <mergeCell ref="E96:E99"/>
    <mergeCell ref="F96:F99"/>
    <mergeCell ref="G96:G99"/>
    <mergeCell ref="H96:H99"/>
    <mergeCell ref="E100:E103"/>
    <mergeCell ref="F100:F103"/>
    <mergeCell ref="G100:G103"/>
    <mergeCell ref="H100:H103"/>
    <mergeCell ref="E88:E91"/>
    <mergeCell ref="F88:F91"/>
    <mergeCell ref="G88:G91"/>
    <mergeCell ref="H88:H91"/>
    <mergeCell ref="E92:E95"/>
    <mergeCell ref="F92:F95"/>
    <mergeCell ref="G92:G95"/>
    <mergeCell ref="H92:H95"/>
    <mergeCell ref="E80:E83"/>
    <mergeCell ref="F80:F83"/>
    <mergeCell ref="G80:G83"/>
    <mergeCell ref="H80:H83"/>
    <mergeCell ref="E84:E87"/>
    <mergeCell ref="F84:F87"/>
    <mergeCell ref="G84:G87"/>
    <mergeCell ref="H84:H87"/>
    <mergeCell ref="E72:E75"/>
    <mergeCell ref="F72:F75"/>
    <mergeCell ref="G72:G75"/>
    <mergeCell ref="H72:H75"/>
    <mergeCell ref="E76:E79"/>
    <mergeCell ref="F76:F79"/>
    <mergeCell ref="G76:G79"/>
    <mergeCell ref="H76:H79"/>
    <mergeCell ref="E64:E67"/>
    <mergeCell ref="F64:F67"/>
    <mergeCell ref="G64:G67"/>
    <mergeCell ref="H64:H67"/>
    <mergeCell ref="E68:E71"/>
    <mergeCell ref="F68:F71"/>
    <mergeCell ref="G68:G71"/>
    <mergeCell ref="H68:H71"/>
    <mergeCell ref="E56:E59"/>
    <mergeCell ref="F56:F59"/>
    <mergeCell ref="G56:G59"/>
    <mergeCell ref="H56:H59"/>
    <mergeCell ref="E60:E63"/>
    <mergeCell ref="F60:F63"/>
    <mergeCell ref="G60:G63"/>
    <mergeCell ref="H60:H63"/>
    <mergeCell ref="E48:E51"/>
    <mergeCell ref="F48:F51"/>
    <mergeCell ref="G48:G51"/>
    <mergeCell ref="H48:H51"/>
    <mergeCell ref="C52:D52"/>
    <mergeCell ref="E52:E55"/>
    <mergeCell ref="F52:F55"/>
    <mergeCell ref="G52:G55"/>
    <mergeCell ref="H52:H55"/>
    <mergeCell ref="E40:E43"/>
    <mergeCell ref="F40:F43"/>
    <mergeCell ref="G40:G43"/>
    <mergeCell ref="H40:H43"/>
    <mergeCell ref="E44:E47"/>
    <mergeCell ref="F44:F47"/>
    <mergeCell ref="G44:G47"/>
    <mergeCell ref="H44:H47"/>
    <mergeCell ref="E32:E35"/>
    <mergeCell ref="F32:F35"/>
    <mergeCell ref="G32:G35"/>
    <mergeCell ref="H32:H35"/>
    <mergeCell ref="E36:E39"/>
    <mergeCell ref="F36:F39"/>
    <mergeCell ref="G36:G39"/>
    <mergeCell ref="H36:H39"/>
    <mergeCell ref="E24:E27"/>
    <mergeCell ref="F24:F27"/>
    <mergeCell ref="G24:G27"/>
    <mergeCell ref="H24:H27"/>
    <mergeCell ref="E28:E31"/>
    <mergeCell ref="F28:F31"/>
    <mergeCell ref="G28:G31"/>
    <mergeCell ref="H28:H31"/>
    <mergeCell ref="E16:E19"/>
    <mergeCell ref="F16:F19"/>
    <mergeCell ref="G16:G19"/>
    <mergeCell ref="H16:H19"/>
    <mergeCell ref="E20:E23"/>
    <mergeCell ref="F20:F23"/>
    <mergeCell ref="G20:G23"/>
    <mergeCell ref="H20:H23"/>
    <mergeCell ref="B4:E4"/>
    <mergeCell ref="E8:E11"/>
    <mergeCell ref="F8:F11"/>
    <mergeCell ref="G8:G11"/>
    <mergeCell ref="H8:H11"/>
    <mergeCell ref="E12:E15"/>
    <mergeCell ref="F12:F15"/>
    <mergeCell ref="G12:G15"/>
    <mergeCell ref="H12:H15"/>
  </mergeCells>
  <conditionalFormatting sqref="H8:H107">
    <cfRule type="cellIs" dxfId="19" priority="1" operator="equal">
      <formula>"Correct"</formula>
    </cfRule>
  </conditionalFormatting>
  <dataValidations count="1">
    <dataValidation type="list" allowBlank="1" showInputMessage="1" showErrorMessage="1" sqref="E12 E16 E20 E24 E28 E32 E36 E40 E44 E48 E52 E56 E60 E64 E68 E72 E76 E80 E84 E88 E92 E96 E100 E104 E8:E11">
      <formula1>"A,B,C"</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H107"/>
  <sheetViews>
    <sheetView showGridLines="0" zoomScaleNormal="100" workbookViewId="0">
      <selection activeCell="B6" sqref="B6"/>
    </sheetView>
  </sheetViews>
  <sheetFormatPr defaultColWidth="9.28515625" defaultRowHeight="15" x14ac:dyDescent="0.25"/>
  <cols>
    <col min="1" max="1" width="3" style="76" customWidth="1"/>
    <col min="2" max="2" width="3.85546875" style="44" bestFit="1" customWidth="1"/>
    <col min="3" max="3" width="3.85546875" style="98" customWidth="1"/>
    <col min="4" max="4" width="97.85546875" style="76" customWidth="1"/>
    <col min="5" max="5" width="7.85546875" style="84" customWidth="1"/>
    <col min="6" max="7" width="7.85546875" style="76" customWidth="1"/>
    <col min="8" max="8" width="66.5703125" style="76" customWidth="1"/>
    <col min="9" max="16384" width="9.28515625" style="76"/>
  </cols>
  <sheetData>
    <row r="1" spans="1:8" ht="46.5" x14ac:dyDescent="0.25">
      <c r="A1" s="83"/>
      <c r="D1" s="45" t="s">
        <v>468</v>
      </c>
    </row>
    <row r="3" spans="1:8" ht="15.75" thickBot="1" x14ac:dyDescent="0.3"/>
    <row r="4" spans="1:8" ht="19.5" thickBot="1" x14ac:dyDescent="0.3">
      <c r="B4" s="202" t="s">
        <v>345</v>
      </c>
      <c r="C4" s="203"/>
      <c r="D4" s="203"/>
      <c r="E4" s="204"/>
    </row>
    <row r="5" spans="1:8" ht="32.25" thickBot="1" x14ac:dyDescent="0.3">
      <c r="H5" s="66" t="str">
        <f>"Your score - "&amp;Scoresheet!D7&amp;"/"&amp;Scoresheet!U7</f>
        <v>Your score - /30</v>
      </c>
    </row>
    <row r="6" spans="1:8" x14ac:dyDescent="0.25">
      <c r="C6" s="99"/>
    </row>
    <row r="7" spans="1:8" ht="15.75" thickBot="1" x14ac:dyDescent="0.3"/>
    <row r="8" spans="1:8" x14ac:dyDescent="0.25">
      <c r="B8" s="46">
        <v>1</v>
      </c>
      <c r="C8" s="100"/>
      <c r="D8" s="85"/>
      <c r="E8" s="191"/>
      <c r="F8" s="194" t="str">
        <f>IF(E8="","",IF(G8=E8,1,0))</f>
        <v/>
      </c>
      <c r="G8" s="194" t="s">
        <v>43</v>
      </c>
      <c r="H8" s="197" t="str">
        <f>IF(F8=1,"Correct","Incorrect:  .")</f>
        <v>Incorrect:  .</v>
      </c>
    </row>
    <row r="9" spans="1:8" x14ac:dyDescent="0.25">
      <c r="B9" s="47"/>
      <c r="C9" s="72" t="s">
        <v>43</v>
      </c>
      <c r="D9" s="69"/>
      <c r="E9" s="192"/>
      <c r="F9" s="195"/>
      <c r="G9" s="195"/>
      <c r="H9" s="198"/>
    </row>
    <row r="10" spans="1:8" x14ac:dyDescent="0.25">
      <c r="B10" s="47"/>
      <c r="C10" s="72" t="s">
        <v>44</v>
      </c>
      <c r="D10" s="69"/>
      <c r="E10" s="192"/>
      <c r="F10" s="195"/>
      <c r="G10" s="195"/>
      <c r="H10" s="198"/>
    </row>
    <row r="11" spans="1:8" ht="15.75" thickBot="1" x14ac:dyDescent="0.3">
      <c r="B11" s="47"/>
      <c r="C11" s="72" t="s">
        <v>45</v>
      </c>
      <c r="D11" s="86"/>
      <c r="E11" s="192"/>
      <c r="F11" s="195"/>
      <c r="G11" s="195"/>
      <c r="H11" s="214"/>
    </row>
    <row r="12" spans="1:8" x14ac:dyDescent="0.25">
      <c r="B12" s="46">
        <v>2</v>
      </c>
      <c r="C12" s="101"/>
      <c r="D12" s="85"/>
      <c r="E12" s="191"/>
      <c r="F12" s="194" t="str">
        <f t="shared" ref="F12" si="0">IF(E12="","",IF(G12=E12,1,0))</f>
        <v/>
      </c>
      <c r="G12" s="194"/>
      <c r="H12" s="197" t="str">
        <f t="shared" ref="H12" si="1">IF(F12=1,"Correct","Incorrect:  .")</f>
        <v>Incorrect:  .</v>
      </c>
    </row>
    <row r="13" spans="1:8" x14ac:dyDescent="0.25">
      <c r="B13" s="47"/>
      <c r="C13" s="72" t="s">
        <v>43</v>
      </c>
      <c r="D13" s="69"/>
      <c r="E13" s="192"/>
      <c r="F13" s="195"/>
      <c r="G13" s="195"/>
      <c r="H13" s="198"/>
    </row>
    <row r="14" spans="1:8" x14ac:dyDescent="0.25">
      <c r="B14" s="47"/>
      <c r="C14" s="72" t="s">
        <v>44</v>
      </c>
      <c r="D14" s="86"/>
      <c r="E14" s="192"/>
      <c r="F14" s="195"/>
      <c r="G14" s="195"/>
      <c r="H14" s="198"/>
    </row>
    <row r="15" spans="1:8" ht="15.75" thickBot="1" x14ac:dyDescent="0.3">
      <c r="B15" s="48"/>
      <c r="C15" s="75" t="s">
        <v>45</v>
      </c>
      <c r="D15" s="88"/>
      <c r="E15" s="193"/>
      <c r="F15" s="195"/>
      <c r="G15" s="196"/>
      <c r="H15" s="214"/>
    </row>
    <row r="16" spans="1:8" x14ac:dyDescent="0.25">
      <c r="B16" s="46">
        <v>3</v>
      </c>
      <c r="C16" s="102"/>
      <c r="D16" s="89"/>
      <c r="E16" s="191"/>
      <c r="F16" s="194" t="str">
        <f t="shared" ref="F16" si="2">IF(E16="","",IF(G16=E16,1,0))</f>
        <v/>
      </c>
      <c r="G16" s="194"/>
      <c r="H16" s="197" t="str">
        <f t="shared" ref="H16" si="3">IF(F16=1,"Correct","Incorrect:  .")</f>
        <v>Incorrect:  .</v>
      </c>
    </row>
    <row r="17" spans="2:8" x14ac:dyDescent="0.25">
      <c r="B17" s="47"/>
      <c r="C17" s="81" t="s">
        <v>43</v>
      </c>
      <c r="D17" s="90"/>
      <c r="E17" s="192"/>
      <c r="F17" s="195"/>
      <c r="G17" s="195"/>
      <c r="H17" s="198"/>
    </row>
    <row r="18" spans="2:8" x14ac:dyDescent="0.25">
      <c r="B18" s="47"/>
      <c r="C18" s="82" t="s">
        <v>44</v>
      </c>
      <c r="D18" s="91"/>
      <c r="E18" s="192"/>
      <c r="F18" s="195"/>
      <c r="G18" s="195"/>
      <c r="H18" s="198"/>
    </row>
    <row r="19" spans="2:8" ht="15.75" thickBot="1" x14ac:dyDescent="0.3">
      <c r="B19" s="48"/>
      <c r="C19" s="82" t="s">
        <v>45</v>
      </c>
      <c r="D19" s="91"/>
      <c r="E19" s="193"/>
      <c r="F19" s="195"/>
      <c r="G19" s="196"/>
      <c r="H19" s="214"/>
    </row>
    <row r="20" spans="2:8" x14ac:dyDescent="0.25">
      <c r="B20" s="46">
        <v>4</v>
      </c>
      <c r="C20" s="101"/>
      <c r="D20" s="85"/>
      <c r="E20" s="191"/>
      <c r="F20" s="194" t="str">
        <f t="shared" ref="F20" si="4">IF(E20="","",IF(G20=E20,1,0))</f>
        <v/>
      </c>
      <c r="G20" s="194"/>
      <c r="H20" s="197" t="str">
        <f t="shared" ref="H20" si="5">IF(F20=1,"Correct","Incorrect:  .")</f>
        <v>Incorrect:  .</v>
      </c>
    </row>
    <row r="21" spans="2:8" x14ac:dyDescent="0.25">
      <c r="B21" s="47"/>
      <c r="C21" s="72" t="s">
        <v>43</v>
      </c>
      <c r="D21" s="69"/>
      <c r="E21" s="192"/>
      <c r="F21" s="195"/>
      <c r="G21" s="195"/>
      <c r="H21" s="198"/>
    </row>
    <row r="22" spans="2:8" x14ac:dyDescent="0.25">
      <c r="B22" s="47"/>
      <c r="C22" s="72" t="s">
        <v>44</v>
      </c>
      <c r="D22" s="86"/>
      <c r="E22" s="192"/>
      <c r="F22" s="195"/>
      <c r="G22" s="195"/>
      <c r="H22" s="198"/>
    </row>
    <row r="23" spans="2:8" ht="15.75" thickBot="1" x14ac:dyDescent="0.3">
      <c r="B23" s="48"/>
      <c r="C23" s="75" t="s">
        <v>45</v>
      </c>
      <c r="D23" s="88"/>
      <c r="E23" s="193"/>
      <c r="F23" s="195"/>
      <c r="G23" s="196"/>
      <c r="H23" s="214"/>
    </row>
    <row r="24" spans="2:8" x14ac:dyDescent="0.25">
      <c r="B24" s="46">
        <v>5</v>
      </c>
      <c r="C24" s="101"/>
      <c r="D24" s="85"/>
      <c r="E24" s="191"/>
      <c r="F24" s="194" t="str">
        <f t="shared" ref="F24" si="6">IF(E24="","",IF(G24=E24,1,0))</f>
        <v/>
      </c>
      <c r="G24" s="194"/>
      <c r="H24" s="197" t="str">
        <f t="shared" ref="H24" si="7">IF(F24=1,"Correct","Incorrect:  .")</f>
        <v>Incorrect:  .</v>
      </c>
    </row>
    <row r="25" spans="2:8" x14ac:dyDescent="0.25">
      <c r="B25" s="47"/>
      <c r="C25" s="72" t="s">
        <v>43</v>
      </c>
      <c r="D25" s="86"/>
      <c r="E25" s="192"/>
      <c r="F25" s="195"/>
      <c r="G25" s="195"/>
      <c r="H25" s="198"/>
    </row>
    <row r="26" spans="2:8" x14ac:dyDescent="0.25">
      <c r="B26" s="47"/>
      <c r="C26" s="72" t="s">
        <v>44</v>
      </c>
      <c r="D26" s="91"/>
      <c r="E26" s="192"/>
      <c r="F26" s="195"/>
      <c r="G26" s="195"/>
      <c r="H26" s="198"/>
    </row>
    <row r="27" spans="2:8" ht="15.75" thickBot="1" x14ac:dyDescent="0.3">
      <c r="B27" s="48"/>
      <c r="C27" s="75" t="s">
        <v>45</v>
      </c>
      <c r="D27" s="88"/>
      <c r="E27" s="193"/>
      <c r="F27" s="195"/>
      <c r="G27" s="196"/>
      <c r="H27" s="214"/>
    </row>
    <row r="28" spans="2:8" x14ac:dyDescent="0.25">
      <c r="B28" s="46">
        <v>6</v>
      </c>
      <c r="C28" s="101"/>
      <c r="D28" s="85"/>
      <c r="E28" s="191"/>
      <c r="F28" s="194" t="str">
        <f t="shared" ref="F28" si="8">IF(E28="","",IF(G28=E28,1,0))</f>
        <v/>
      </c>
      <c r="G28" s="194"/>
      <c r="H28" s="197" t="str">
        <f t="shared" ref="H28" si="9">IF(F28=1,"Correct","Incorrect:  .")</f>
        <v>Incorrect:  .</v>
      </c>
    </row>
    <row r="29" spans="2:8" x14ac:dyDescent="0.25">
      <c r="B29" s="47"/>
      <c r="C29" s="72" t="s">
        <v>43</v>
      </c>
      <c r="D29" s="86"/>
      <c r="E29" s="192"/>
      <c r="F29" s="195"/>
      <c r="G29" s="195"/>
      <c r="H29" s="198"/>
    </row>
    <row r="30" spans="2:8" x14ac:dyDescent="0.25">
      <c r="B30" s="47"/>
      <c r="C30" s="72" t="s">
        <v>44</v>
      </c>
      <c r="D30" s="69"/>
      <c r="E30" s="192"/>
      <c r="F30" s="195"/>
      <c r="G30" s="195"/>
      <c r="H30" s="198"/>
    </row>
    <row r="31" spans="2:8" ht="15.75" thickBot="1" x14ac:dyDescent="0.3">
      <c r="B31" s="48"/>
      <c r="C31" s="75" t="s">
        <v>45</v>
      </c>
      <c r="D31" s="88"/>
      <c r="E31" s="193"/>
      <c r="F31" s="195"/>
      <c r="G31" s="196"/>
      <c r="H31" s="214"/>
    </row>
    <row r="32" spans="2:8" x14ac:dyDescent="0.25">
      <c r="B32" s="46">
        <v>7</v>
      </c>
      <c r="C32" s="101"/>
      <c r="D32" s="85"/>
      <c r="E32" s="191"/>
      <c r="F32" s="194" t="str">
        <f t="shared" ref="F32" si="10">IF(E32="","",IF(G32=E32,1,0))</f>
        <v/>
      </c>
      <c r="G32" s="194"/>
      <c r="H32" s="197" t="str">
        <f t="shared" ref="H32" si="11">IF(F32=1,"Correct","Incorrect:  .")</f>
        <v>Incorrect:  .</v>
      </c>
    </row>
    <row r="33" spans="2:8" x14ac:dyDescent="0.25">
      <c r="B33" s="47"/>
      <c r="C33" s="72" t="s">
        <v>43</v>
      </c>
      <c r="D33" s="69"/>
      <c r="E33" s="192"/>
      <c r="F33" s="195"/>
      <c r="G33" s="195"/>
      <c r="H33" s="198"/>
    </row>
    <row r="34" spans="2:8" x14ac:dyDescent="0.25">
      <c r="B34" s="47"/>
      <c r="C34" s="72" t="s">
        <v>44</v>
      </c>
      <c r="D34" s="86"/>
      <c r="E34" s="192"/>
      <c r="F34" s="195"/>
      <c r="G34" s="195"/>
      <c r="H34" s="198"/>
    </row>
    <row r="35" spans="2:8" ht="15.75" thickBot="1" x14ac:dyDescent="0.3">
      <c r="B35" s="48"/>
      <c r="C35" s="75" t="s">
        <v>45</v>
      </c>
      <c r="D35" s="88"/>
      <c r="E35" s="193"/>
      <c r="F35" s="195"/>
      <c r="G35" s="196"/>
      <c r="H35" s="214"/>
    </row>
    <row r="36" spans="2:8" x14ac:dyDescent="0.25">
      <c r="B36" s="46">
        <v>8</v>
      </c>
      <c r="C36" s="101"/>
      <c r="D36" s="85"/>
      <c r="E36" s="191"/>
      <c r="F36" s="194" t="str">
        <f t="shared" ref="F36" si="12">IF(E36="","",IF(G36=E36,1,0))</f>
        <v/>
      </c>
      <c r="G36" s="194"/>
      <c r="H36" s="197" t="str">
        <f t="shared" ref="H36" si="13">IF(F36=1,"Correct","Incorrect:  .")</f>
        <v>Incorrect:  .</v>
      </c>
    </row>
    <row r="37" spans="2:8" x14ac:dyDescent="0.25">
      <c r="B37" s="47"/>
      <c r="C37" s="72" t="s">
        <v>43</v>
      </c>
      <c r="D37" s="69"/>
      <c r="E37" s="192"/>
      <c r="F37" s="195"/>
      <c r="G37" s="195"/>
      <c r="H37" s="198"/>
    </row>
    <row r="38" spans="2:8" x14ac:dyDescent="0.25">
      <c r="B38" s="47"/>
      <c r="C38" s="72" t="s">
        <v>44</v>
      </c>
      <c r="D38" s="86"/>
      <c r="E38" s="192"/>
      <c r="F38" s="195"/>
      <c r="G38" s="195"/>
      <c r="H38" s="198"/>
    </row>
    <row r="39" spans="2:8" ht="15.75" thickBot="1" x14ac:dyDescent="0.3">
      <c r="B39" s="48"/>
      <c r="C39" s="75" t="s">
        <v>45</v>
      </c>
      <c r="D39" s="88"/>
      <c r="E39" s="193"/>
      <c r="F39" s="195"/>
      <c r="G39" s="196"/>
      <c r="H39" s="214"/>
    </row>
    <row r="40" spans="2:8" x14ac:dyDescent="0.25">
      <c r="B40" s="46">
        <v>9</v>
      </c>
      <c r="C40" s="101"/>
      <c r="D40" s="85"/>
      <c r="E40" s="191"/>
      <c r="F40" s="194" t="str">
        <f t="shared" ref="F40" si="14">IF(E40="","",IF(G40=E40,1,0))</f>
        <v/>
      </c>
      <c r="G40" s="194"/>
      <c r="H40" s="197" t="str">
        <f t="shared" ref="H40" si="15">IF(F40=1,"Correct","Incorrect:  .")</f>
        <v>Incorrect:  .</v>
      </c>
    </row>
    <row r="41" spans="2:8" x14ac:dyDescent="0.25">
      <c r="B41" s="47"/>
      <c r="C41" s="72" t="s">
        <v>43</v>
      </c>
      <c r="D41" s="69"/>
      <c r="E41" s="192"/>
      <c r="F41" s="195"/>
      <c r="G41" s="195"/>
      <c r="H41" s="198"/>
    </row>
    <row r="42" spans="2:8" x14ac:dyDescent="0.25">
      <c r="B42" s="47"/>
      <c r="C42" s="72" t="s">
        <v>44</v>
      </c>
      <c r="D42" s="86"/>
      <c r="E42" s="192"/>
      <c r="F42" s="195"/>
      <c r="G42" s="195"/>
      <c r="H42" s="198"/>
    </row>
    <row r="43" spans="2:8" ht="15.75" thickBot="1" x14ac:dyDescent="0.3">
      <c r="B43" s="48"/>
      <c r="C43" s="75" t="s">
        <v>45</v>
      </c>
      <c r="D43" s="88"/>
      <c r="E43" s="193"/>
      <c r="F43" s="195"/>
      <c r="G43" s="196"/>
      <c r="H43" s="214"/>
    </row>
    <row r="44" spans="2:8" x14ac:dyDescent="0.25">
      <c r="B44" s="46">
        <v>10</v>
      </c>
      <c r="C44" s="101"/>
      <c r="D44" s="85"/>
      <c r="E44" s="191"/>
      <c r="F44" s="194" t="str">
        <f t="shared" ref="F44" si="16">IF(E44="","",IF(G44=E44,1,0))</f>
        <v/>
      </c>
      <c r="G44" s="194"/>
      <c r="H44" s="197" t="str">
        <f t="shared" ref="H44" si="17">IF(F44=1,"Correct","Incorrect:  .")</f>
        <v>Incorrect:  .</v>
      </c>
    </row>
    <row r="45" spans="2:8" x14ac:dyDescent="0.25">
      <c r="B45" s="47"/>
      <c r="C45" s="72" t="s">
        <v>43</v>
      </c>
      <c r="D45" s="69"/>
      <c r="E45" s="192"/>
      <c r="F45" s="195"/>
      <c r="G45" s="195"/>
      <c r="H45" s="198"/>
    </row>
    <row r="46" spans="2:8" x14ac:dyDescent="0.25">
      <c r="B46" s="47"/>
      <c r="C46" s="72" t="s">
        <v>44</v>
      </c>
      <c r="D46" s="86"/>
      <c r="E46" s="192"/>
      <c r="F46" s="195"/>
      <c r="G46" s="195"/>
      <c r="H46" s="198"/>
    </row>
    <row r="47" spans="2:8" ht="15.75" thickBot="1" x14ac:dyDescent="0.3">
      <c r="B47" s="48"/>
      <c r="C47" s="75" t="s">
        <v>45</v>
      </c>
      <c r="D47" s="88"/>
      <c r="E47" s="193"/>
      <c r="F47" s="195"/>
      <c r="G47" s="196"/>
      <c r="H47" s="214"/>
    </row>
    <row r="48" spans="2:8" x14ac:dyDescent="0.25">
      <c r="B48" s="46">
        <v>11</v>
      </c>
      <c r="C48" s="101"/>
      <c r="D48" s="85"/>
      <c r="E48" s="191"/>
      <c r="F48" s="194" t="str">
        <f t="shared" ref="F48" si="18">IF(E48="","",IF(G48=E48,1,0))</f>
        <v/>
      </c>
      <c r="G48" s="194"/>
      <c r="H48" s="197" t="str">
        <f t="shared" ref="H48" si="19">IF(F48=1,"Correct","Incorrect:  .")</f>
        <v>Incorrect:  .</v>
      </c>
    </row>
    <row r="49" spans="2:8" x14ac:dyDescent="0.25">
      <c r="B49" s="47"/>
      <c r="C49" s="72" t="s">
        <v>43</v>
      </c>
      <c r="D49" s="69"/>
      <c r="E49" s="192"/>
      <c r="F49" s="195"/>
      <c r="G49" s="195"/>
      <c r="H49" s="198"/>
    </row>
    <row r="50" spans="2:8" x14ac:dyDescent="0.25">
      <c r="B50" s="47"/>
      <c r="C50" s="72" t="s">
        <v>44</v>
      </c>
      <c r="D50" s="86"/>
      <c r="E50" s="192"/>
      <c r="F50" s="195"/>
      <c r="G50" s="195"/>
      <c r="H50" s="198"/>
    </row>
    <row r="51" spans="2:8" ht="15.75" thickBot="1" x14ac:dyDescent="0.3">
      <c r="B51" s="48"/>
      <c r="C51" s="75" t="s">
        <v>45</v>
      </c>
      <c r="D51" s="88"/>
      <c r="E51" s="193"/>
      <c r="F51" s="195"/>
      <c r="G51" s="196"/>
      <c r="H51" s="214"/>
    </row>
    <row r="52" spans="2:8" ht="29.25" customHeight="1" x14ac:dyDescent="0.25">
      <c r="B52" s="46">
        <v>12</v>
      </c>
      <c r="C52" s="215"/>
      <c r="D52" s="216"/>
      <c r="E52" s="191"/>
      <c r="F52" s="194" t="str">
        <f t="shared" ref="F52" si="20">IF(E52="","",IF(G52=E52,1,0))</f>
        <v/>
      </c>
      <c r="G52" s="194"/>
      <c r="H52" s="197" t="str">
        <f t="shared" ref="H52" si="21">IF(F52=1,"Correct","Incorrect:  .")</f>
        <v>Incorrect:  .</v>
      </c>
    </row>
    <row r="53" spans="2:8" x14ac:dyDescent="0.25">
      <c r="B53" s="47"/>
      <c r="C53" s="72" t="s">
        <v>43</v>
      </c>
      <c r="D53" s="69"/>
      <c r="E53" s="192"/>
      <c r="F53" s="195"/>
      <c r="G53" s="195"/>
      <c r="H53" s="198"/>
    </row>
    <row r="54" spans="2:8" x14ac:dyDescent="0.25">
      <c r="B54" s="47"/>
      <c r="C54" s="72" t="s">
        <v>44</v>
      </c>
      <c r="D54" s="86"/>
      <c r="E54" s="192"/>
      <c r="F54" s="195"/>
      <c r="G54" s="195"/>
      <c r="H54" s="198"/>
    </row>
    <row r="55" spans="2:8" ht="15.75" thickBot="1" x14ac:dyDescent="0.3">
      <c r="B55" s="48"/>
      <c r="C55" s="75" t="s">
        <v>45</v>
      </c>
      <c r="D55" s="88"/>
      <c r="E55" s="193"/>
      <c r="F55" s="195"/>
      <c r="G55" s="196"/>
      <c r="H55" s="214"/>
    </row>
    <row r="56" spans="2:8" x14ac:dyDescent="0.25">
      <c r="B56" s="46">
        <v>13</v>
      </c>
      <c r="C56" s="101"/>
      <c r="D56" s="85"/>
      <c r="E56" s="191"/>
      <c r="F56" s="194" t="str">
        <f t="shared" ref="F56" si="22">IF(E56="","",IF(G56=E56,1,0))</f>
        <v/>
      </c>
      <c r="G56" s="194"/>
      <c r="H56" s="197" t="str">
        <f t="shared" ref="H56" si="23">IF(F56=1,"Correct","Incorrect:  .")</f>
        <v>Incorrect:  .</v>
      </c>
    </row>
    <row r="57" spans="2:8" x14ac:dyDescent="0.25">
      <c r="B57" s="47"/>
      <c r="C57" s="72" t="s">
        <v>43</v>
      </c>
      <c r="D57" s="69"/>
      <c r="E57" s="192"/>
      <c r="F57" s="195"/>
      <c r="G57" s="195"/>
      <c r="H57" s="198"/>
    </row>
    <row r="58" spans="2:8" x14ac:dyDescent="0.25">
      <c r="B58" s="47"/>
      <c r="C58" s="72" t="s">
        <v>44</v>
      </c>
      <c r="D58" s="86"/>
      <c r="E58" s="192"/>
      <c r="F58" s="195"/>
      <c r="G58" s="195"/>
      <c r="H58" s="198"/>
    </row>
    <row r="59" spans="2:8" ht="15.75" thickBot="1" x14ac:dyDescent="0.3">
      <c r="B59" s="48"/>
      <c r="C59" s="75" t="s">
        <v>45</v>
      </c>
      <c r="D59" s="88"/>
      <c r="E59" s="193"/>
      <c r="F59" s="195"/>
      <c r="G59" s="196"/>
      <c r="H59" s="214"/>
    </row>
    <row r="60" spans="2:8" x14ac:dyDescent="0.25">
      <c r="B60" s="46">
        <v>14</v>
      </c>
      <c r="C60" s="101"/>
      <c r="D60" s="85"/>
      <c r="E60" s="191"/>
      <c r="F60" s="194" t="str">
        <f t="shared" ref="F60" si="24">IF(E60="","",IF(G60=E60,1,0))</f>
        <v/>
      </c>
      <c r="G60" s="194"/>
      <c r="H60" s="197" t="str">
        <f t="shared" ref="H60" si="25">IF(F60=1,"Correct","Incorrect:  .")</f>
        <v>Incorrect:  .</v>
      </c>
    </row>
    <row r="61" spans="2:8" x14ac:dyDescent="0.25">
      <c r="B61" s="47"/>
      <c r="C61" s="72"/>
      <c r="D61" s="69"/>
      <c r="E61" s="192"/>
      <c r="F61" s="195"/>
      <c r="G61" s="195"/>
      <c r="H61" s="198"/>
    </row>
    <row r="62" spans="2:8" x14ac:dyDescent="0.25">
      <c r="B62" s="47"/>
      <c r="C62" s="72"/>
      <c r="D62" s="94"/>
      <c r="E62" s="192"/>
      <c r="F62" s="195"/>
      <c r="G62" s="195"/>
      <c r="H62" s="198"/>
    </row>
    <row r="63" spans="2:8" ht="15.75" thickBot="1" x14ac:dyDescent="0.3">
      <c r="B63" s="48"/>
      <c r="C63" s="75"/>
      <c r="D63" s="88"/>
      <c r="E63" s="193"/>
      <c r="F63" s="195"/>
      <c r="G63" s="196"/>
      <c r="H63" s="214"/>
    </row>
    <row r="64" spans="2:8" x14ac:dyDescent="0.25">
      <c r="B64" s="46">
        <v>15</v>
      </c>
      <c r="C64" s="101"/>
      <c r="D64" s="85"/>
      <c r="E64" s="191"/>
      <c r="F64" s="194" t="str">
        <f t="shared" ref="F64" si="26">IF(E64="","",IF(G64=E64,1,0))</f>
        <v/>
      </c>
      <c r="G64" s="194"/>
      <c r="H64" s="197" t="str">
        <f t="shared" ref="H64" si="27">IF(F64=1,"Correct","Incorrect:  .")</f>
        <v>Incorrect:  .</v>
      </c>
    </row>
    <row r="65" spans="2:8" x14ac:dyDescent="0.25">
      <c r="B65" s="47"/>
      <c r="C65" s="72"/>
      <c r="D65" s="69"/>
      <c r="E65" s="192"/>
      <c r="F65" s="195"/>
      <c r="G65" s="195"/>
      <c r="H65" s="198"/>
    </row>
    <row r="66" spans="2:8" x14ac:dyDescent="0.25">
      <c r="B66" s="47"/>
      <c r="C66" s="72"/>
      <c r="D66" s="94"/>
      <c r="E66" s="192"/>
      <c r="F66" s="195"/>
      <c r="G66" s="195"/>
      <c r="H66" s="198"/>
    </row>
    <row r="67" spans="2:8" ht="15.75" thickBot="1" x14ac:dyDescent="0.3">
      <c r="B67" s="48"/>
      <c r="C67" s="75"/>
      <c r="D67" s="88"/>
      <c r="E67" s="193"/>
      <c r="F67" s="195"/>
      <c r="G67" s="196"/>
      <c r="H67" s="214"/>
    </row>
    <row r="68" spans="2:8" x14ac:dyDescent="0.25">
      <c r="B68" s="46">
        <v>16</v>
      </c>
      <c r="C68" s="101"/>
      <c r="D68" s="85"/>
      <c r="E68" s="191"/>
      <c r="F68" s="194" t="str">
        <f t="shared" ref="F68" si="28">IF(E68="","",IF(G68=E68,1,0))</f>
        <v/>
      </c>
      <c r="G68" s="194"/>
      <c r="H68" s="197" t="str">
        <f t="shared" ref="H68" si="29">IF(F68=1,"Correct","Incorrect:  .")</f>
        <v>Incorrect:  .</v>
      </c>
    </row>
    <row r="69" spans="2:8" x14ac:dyDescent="0.25">
      <c r="B69" s="47"/>
      <c r="C69" s="72"/>
      <c r="D69" s="69"/>
      <c r="E69" s="192"/>
      <c r="F69" s="195"/>
      <c r="G69" s="195"/>
      <c r="H69" s="198"/>
    </row>
    <row r="70" spans="2:8" x14ac:dyDescent="0.25">
      <c r="B70" s="47"/>
      <c r="C70" s="72"/>
      <c r="D70" s="94"/>
      <c r="E70" s="192"/>
      <c r="F70" s="195"/>
      <c r="G70" s="195"/>
      <c r="H70" s="198"/>
    </row>
    <row r="71" spans="2:8" ht="15.75" thickBot="1" x14ac:dyDescent="0.3">
      <c r="B71" s="48"/>
      <c r="C71" s="75"/>
      <c r="D71" s="88"/>
      <c r="E71" s="193"/>
      <c r="F71" s="195"/>
      <c r="G71" s="196"/>
      <c r="H71" s="214"/>
    </row>
    <row r="72" spans="2:8" x14ac:dyDescent="0.25">
      <c r="B72" s="46">
        <v>17</v>
      </c>
      <c r="C72" s="101"/>
      <c r="D72" s="85"/>
      <c r="E72" s="191"/>
      <c r="F72" s="194" t="str">
        <f t="shared" ref="F72" si="30">IF(E72="","",IF(G72=E72,1,0))</f>
        <v/>
      </c>
      <c r="G72" s="194"/>
      <c r="H72" s="197" t="str">
        <f t="shared" ref="H72" si="31">IF(F72=1,"Correct","Incorrect:  .")</f>
        <v>Incorrect:  .</v>
      </c>
    </row>
    <row r="73" spans="2:8" x14ac:dyDescent="0.25">
      <c r="B73" s="47"/>
      <c r="C73" s="72"/>
      <c r="D73" s="69"/>
      <c r="E73" s="192"/>
      <c r="F73" s="195"/>
      <c r="G73" s="195"/>
      <c r="H73" s="198"/>
    </row>
    <row r="74" spans="2:8" x14ac:dyDescent="0.25">
      <c r="B74" s="47"/>
      <c r="C74" s="72"/>
      <c r="D74" s="94"/>
      <c r="E74" s="192"/>
      <c r="F74" s="195"/>
      <c r="G74" s="195"/>
      <c r="H74" s="198"/>
    </row>
    <row r="75" spans="2:8" ht="15.75" thickBot="1" x14ac:dyDescent="0.3">
      <c r="B75" s="48"/>
      <c r="C75" s="75"/>
      <c r="D75" s="88"/>
      <c r="E75" s="193"/>
      <c r="F75" s="195"/>
      <c r="G75" s="196"/>
      <c r="H75" s="214"/>
    </row>
    <row r="76" spans="2:8" x14ac:dyDescent="0.25">
      <c r="B76" s="46">
        <v>18</v>
      </c>
      <c r="C76" s="101"/>
      <c r="D76" s="85"/>
      <c r="E76" s="191"/>
      <c r="F76" s="194" t="str">
        <f t="shared" ref="F76" si="32">IF(E76="","",IF(G76=E76,1,0))</f>
        <v/>
      </c>
      <c r="G76" s="194"/>
      <c r="H76" s="197" t="str">
        <f t="shared" ref="H76" si="33">IF(F76=1,"Correct","Incorrect:  .")</f>
        <v>Incorrect:  .</v>
      </c>
    </row>
    <row r="77" spans="2:8" x14ac:dyDescent="0.25">
      <c r="B77" s="47"/>
      <c r="C77" s="72"/>
      <c r="D77" s="69"/>
      <c r="E77" s="192"/>
      <c r="F77" s="195"/>
      <c r="G77" s="195"/>
      <c r="H77" s="198"/>
    </row>
    <row r="78" spans="2:8" x14ac:dyDescent="0.25">
      <c r="B78" s="47"/>
      <c r="C78" s="72"/>
      <c r="D78" s="94"/>
      <c r="E78" s="192"/>
      <c r="F78" s="195"/>
      <c r="G78" s="195"/>
      <c r="H78" s="198"/>
    </row>
    <row r="79" spans="2:8" ht="15.75" thickBot="1" x14ac:dyDescent="0.3">
      <c r="B79" s="48"/>
      <c r="C79" s="75"/>
      <c r="D79" s="88"/>
      <c r="E79" s="193"/>
      <c r="F79" s="195"/>
      <c r="G79" s="196"/>
      <c r="H79" s="214"/>
    </row>
    <row r="80" spans="2:8" x14ac:dyDescent="0.25">
      <c r="B80" s="46">
        <v>19</v>
      </c>
      <c r="C80" s="101"/>
      <c r="D80" s="85"/>
      <c r="E80" s="191"/>
      <c r="F80" s="194" t="str">
        <f t="shared" ref="F80" si="34">IF(E80="","",IF(G80=E80,1,0))</f>
        <v/>
      </c>
      <c r="G80" s="194"/>
      <c r="H80" s="197" t="str">
        <f t="shared" ref="H80" si="35">IF(F80=1,"Correct","Incorrect:  .")</f>
        <v>Incorrect:  .</v>
      </c>
    </row>
    <row r="81" spans="2:8" x14ac:dyDescent="0.25">
      <c r="B81" s="47"/>
      <c r="C81" s="72"/>
      <c r="D81" s="69"/>
      <c r="E81" s="192"/>
      <c r="F81" s="195"/>
      <c r="G81" s="195"/>
      <c r="H81" s="198"/>
    </row>
    <row r="82" spans="2:8" x14ac:dyDescent="0.25">
      <c r="B82" s="47"/>
      <c r="C82" s="72"/>
      <c r="D82" s="94"/>
      <c r="E82" s="192"/>
      <c r="F82" s="195"/>
      <c r="G82" s="195"/>
      <c r="H82" s="198"/>
    </row>
    <row r="83" spans="2:8" ht="15.75" thickBot="1" x14ac:dyDescent="0.3">
      <c r="B83" s="48"/>
      <c r="C83" s="75"/>
      <c r="D83" s="88"/>
      <c r="E83" s="193"/>
      <c r="F83" s="195"/>
      <c r="G83" s="196"/>
      <c r="H83" s="214"/>
    </row>
    <row r="84" spans="2:8" x14ac:dyDescent="0.25">
      <c r="B84" s="46">
        <v>20</v>
      </c>
      <c r="C84" s="101"/>
      <c r="D84" s="85"/>
      <c r="E84" s="191"/>
      <c r="F84" s="194" t="str">
        <f t="shared" ref="F84" si="36">IF(E84="","",IF(G84=E84,1,0))</f>
        <v/>
      </c>
      <c r="G84" s="194"/>
      <c r="H84" s="197" t="str">
        <f t="shared" ref="H84" si="37">IF(F84=1,"Correct","Incorrect:  .")</f>
        <v>Incorrect:  .</v>
      </c>
    </row>
    <row r="85" spans="2:8" x14ac:dyDescent="0.25">
      <c r="B85" s="47"/>
      <c r="C85" s="72"/>
      <c r="D85" s="69"/>
      <c r="E85" s="192"/>
      <c r="F85" s="195"/>
      <c r="G85" s="195"/>
      <c r="H85" s="198"/>
    </row>
    <row r="86" spans="2:8" x14ac:dyDescent="0.25">
      <c r="B86" s="47"/>
      <c r="C86" s="72"/>
      <c r="D86" s="94"/>
      <c r="E86" s="192"/>
      <c r="F86" s="195"/>
      <c r="G86" s="195"/>
      <c r="H86" s="198"/>
    </row>
    <row r="87" spans="2:8" ht="15.75" thickBot="1" x14ac:dyDescent="0.3">
      <c r="B87" s="48"/>
      <c r="C87" s="75"/>
      <c r="D87" s="88"/>
      <c r="E87" s="193"/>
      <c r="F87" s="195"/>
      <c r="G87" s="196"/>
      <c r="H87" s="214"/>
    </row>
    <row r="88" spans="2:8" x14ac:dyDescent="0.25">
      <c r="B88" s="46">
        <v>21</v>
      </c>
      <c r="C88" s="101"/>
      <c r="D88" s="85"/>
      <c r="E88" s="191"/>
      <c r="F88" s="194" t="str">
        <f t="shared" ref="F88" si="38">IF(E88="","",IF(G88=E88,1,0))</f>
        <v/>
      </c>
      <c r="G88" s="194"/>
      <c r="H88" s="197" t="str">
        <f t="shared" ref="H88" si="39">IF(F88=1,"Correct","Incorrect:  .")</f>
        <v>Incorrect:  .</v>
      </c>
    </row>
    <row r="89" spans="2:8" x14ac:dyDescent="0.25">
      <c r="B89" s="47"/>
      <c r="C89" s="72"/>
      <c r="D89" s="69"/>
      <c r="E89" s="192"/>
      <c r="F89" s="195"/>
      <c r="G89" s="195"/>
      <c r="H89" s="198"/>
    </row>
    <row r="90" spans="2:8" x14ac:dyDescent="0.25">
      <c r="B90" s="47"/>
      <c r="C90" s="72"/>
      <c r="D90" s="94"/>
      <c r="E90" s="192"/>
      <c r="F90" s="195"/>
      <c r="G90" s="195"/>
      <c r="H90" s="198"/>
    </row>
    <row r="91" spans="2:8" ht="15.75" thickBot="1" x14ac:dyDescent="0.3">
      <c r="B91" s="48"/>
      <c r="C91" s="75"/>
      <c r="D91" s="88"/>
      <c r="E91" s="193"/>
      <c r="F91" s="195"/>
      <c r="G91" s="196"/>
      <c r="H91" s="214"/>
    </row>
    <row r="92" spans="2:8" x14ac:dyDescent="0.25">
      <c r="B92" s="46">
        <v>22</v>
      </c>
      <c r="C92" s="101"/>
      <c r="D92" s="85"/>
      <c r="E92" s="191"/>
      <c r="F92" s="194" t="str">
        <f t="shared" ref="F92" si="40">IF(E92="","",IF(G92=E92,1,0))</f>
        <v/>
      </c>
      <c r="G92" s="194"/>
      <c r="H92" s="197" t="str">
        <f t="shared" ref="H92" si="41">IF(F92=1,"Correct","Incorrect:  .")</f>
        <v>Incorrect:  .</v>
      </c>
    </row>
    <row r="93" spans="2:8" x14ac:dyDescent="0.25">
      <c r="B93" s="47"/>
      <c r="C93" s="72"/>
      <c r="D93" s="69"/>
      <c r="E93" s="192"/>
      <c r="F93" s="195"/>
      <c r="G93" s="195"/>
      <c r="H93" s="198"/>
    </row>
    <row r="94" spans="2:8" x14ac:dyDescent="0.25">
      <c r="B94" s="47"/>
      <c r="C94" s="72"/>
      <c r="D94" s="94"/>
      <c r="E94" s="192"/>
      <c r="F94" s="195"/>
      <c r="G94" s="195"/>
      <c r="H94" s="198"/>
    </row>
    <row r="95" spans="2:8" ht="15.75" thickBot="1" x14ac:dyDescent="0.3">
      <c r="B95" s="48"/>
      <c r="C95" s="75"/>
      <c r="D95" s="88"/>
      <c r="E95" s="193"/>
      <c r="F95" s="195"/>
      <c r="G95" s="196"/>
      <c r="H95" s="214"/>
    </row>
    <row r="96" spans="2:8" x14ac:dyDescent="0.25">
      <c r="B96" s="46">
        <v>23</v>
      </c>
      <c r="C96" s="101"/>
      <c r="D96" s="85"/>
      <c r="E96" s="191"/>
      <c r="F96" s="194" t="str">
        <f t="shared" ref="F96" si="42">IF(E96="","",IF(G96=E96,1,0))</f>
        <v/>
      </c>
      <c r="G96" s="194"/>
      <c r="H96" s="197" t="str">
        <f t="shared" ref="H96" si="43">IF(F96=1,"Correct","Incorrect:  .")</f>
        <v>Incorrect:  .</v>
      </c>
    </row>
    <row r="97" spans="2:8" x14ac:dyDescent="0.25">
      <c r="B97" s="47"/>
      <c r="C97" s="72"/>
      <c r="D97" s="69"/>
      <c r="E97" s="192"/>
      <c r="F97" s="195"/>
      <c r="G97" s="195"/>
      <c r="H97" s="198"/>
    </row>
    <row r="98" spans="2:8" x14ac:dyDescent="0.25">
      <c r="B98" s="47"/>
      <c r="C98" s="72"/>
      <c r="D98" s="94"/>
      <c r="E98" s="192"/>
      <c r="F98" s="195"/>
      <c r="G98" s="195"/>
      <c r="H98" s="198"/>
    </row>
    <row r="99" spans="2:8" ht="15.75" thickBot="1" x14ac:dyDescent="0.3">
      <c r="B99" s="48"/>
      <c r="C99" s="75"/>
      <c r="D99" s="88"/>
      <c r="E99" s="193"/>
      <c r="F99" s="195"/>
      <c r="G99" s="196"/>
      <c r="H99" s="214"/>
    </row>
    <row r="100" spans="2:8" x14ac:dyDescent="0.25">
      <c r="B100" s="46">
        <v>24</v>
      </c>
      <c r="C100" s="101"/>
      <c r="D100" s="85"/>
      <c r="E100" s="191"/>
      <c r="F100" s="194" t="str">
        <f t="shared" ref="F100" si="44">IF(E100="","",IF(G100=E100,1,0))</f>
        <v/>
      </c>
      <c r="G100" s="194"/>
      <c r="H100" s="197" t="str">
        <f t="shared" ref="H100" si="45">IF(F100=1,"Correct","Incorrect:  .")</f>
        <v>Incorrect:  .</v>
      </c>
    </row>
    <row r="101" spans="2:8" x14ac:dyDescent="0.25">
      <c r="B101" s="47"/>
      <c r="C101" s="72"/>
      <c r="D101" s="69"/>
      <c r="E101" s="192"/>
      <c r="F101" s="195"/>
      <c r="G101" s="195"/>
      <c r="H101" s="198"/>
    </row>
    <row r="102" spans="2:8" x14ac:dyDescent="0.25">
      <c r="B102" s="47"/>
      <c r="C102" s="72"/>
      <c r="D102" s="94"/>
      <c r="E102" s="192"/>
      <c r="F102" s="195"/>
      <c r="G102" s="195"/>
      <c r="H102" s="198"/>
    </row>
    <row r="103" spans="2:8" ht="15.75" thickBot="1" x14ac:dyDescent="0.3">
      <c r="B103" s="48"/>
      <c r="C103" s="75"/>
      <c r="D103" s="88"/>
      <c r="E103" s="193"/>
      <c r="F103" s="195"/>
      <c r="G103" s="196"/>
      <c r="H103" s="214"/>
    </row>
    <row r="104" spans="2:8" x14ac:dyDescent="0.25">
      <c r="B104" s="46">
        <v>25</v>
      </c>
      <c r="C104" s="101"/>
      <c r="D104" s="85"/>
      <c r="E104" s="191"/>
      <c r="F104" s="194" t="str">
        <f t="shared" ref="F104" si="46">IF(E104="","",IF(G104=E104,1,0))</f>
        <v/>
      </c>
      <c r="G104" s="194"/>
      <c r="H104" s="197" t="str">
        <f t="shared" ref="H104" si="47">IF(F104=1,"Correct","Incorrect:  .")</f>
        <v>Incorrect:  .</v>
      </c>
    </row>
    <row r="105" spans="2:8" x14ac:dyDescent="0.25">
      <c r="B105" s="47"/>
      <c r="C105" s="72"/>
      <c r="D105" s="69"/>
      <c r="E105" s="192"/>
      <c r="F105" s="195"/>
      <c r="G105" s="195"/>
      <c r="H105" s="198"/>
    </row>
    <row r="106" spans="2:8" x14ac:dyDescent="0.25">
      <c r="B106" s="47"/>
      <c r="C106" s="72"/>
      <c r="D106" s="94"/>
      <c r="E106" s="192"/>
      <c r="F106" s="195"/>
      <c r="G106" s="195"/>
      <c r="H106" s="198"/>
    </row>
    <row r="107" spans="2:8" ht="15.75" thickBot="1" x14ac:dyDescent="0.3">
      <c r="B107" s="48"/>
      <c r="C107" s="75"/>
      <c r="D107" s="88"/>
      <c r="E107" s="193"/>
      <c r="F107" s="196"/>
      <c r="G107" s="196"/>
      <c r="H107" s="214"/>
    </row>
  </sheetData>
  <sheetProtection selectLockedCells="1" selectUnlockedCells="1"/>
  <mergeCells count="102">
    <mergeCell ref="B4:E4"/>
    <mergeCell ref="E16:E19"/>
    <mergeCell ref="F16:F19"/>
    <mergeCell ref="G16:G19"/>
    <mergeCell ref="H16:H19"/>
    <mergeCell ref="E20:E23"/>
    <mergeCell ref="F20:F23"/>
    <mergeCell ref="G20:G23"/>
    <mergeCell ref="H20:H23"/>
    <mergeCell ref="E8:E11"/>
    <mergeCell ref="F8:F11"/>
    <mergeCell ref="G8:G11"/>
    <mergeCell ref="H8:H11"/>
    <mergeCell ref="E12:E15"/>
    <mergeCell ref="F12:F15"/>
    <mergeCell ref="G12:G15"/>
    <mergeCell ref="H12:H15"/>
    <mergeCell ref="E32:E35"/>
    <mergeCell ref="F32:F35"/>
    <mergeCell ref="G32:G35"/>
    <mergeCell ref="H32:H35"/>
    <mergeCell ref="E36:E39"/>
    <mergeCell ref="F36:F39"/>
    <mergeCell ref="G36:G39"/>
    <mergeCell ref="H36:H39"/>
    <mergeCell ref="E24:E27"/>
    <mergeCell ref="F24:F27"/>
    <mergeCell ref="G24:G27"/>
    <mergeCell ref="H24:H27"/>
    <mergeCell ref="E28:E31"/>
    <mergeCell ref="F28:F31"/>
    <mergeCell ref="G28:G31"/>
    <mergeCell ref="H28:H31"/>
    <mergeCell ref="C52:D52"/>
    <mergeCell ref="E52:E55"/>
    <mergeCell ref="F52:F55"/>
    <mergeCell ref="G52:G55"/>
    <mergeCell ref="H52:H55"/>
    <mergeCell ref="E40:E43"/>
    <mergeCell ref="F40:F43"/>
    <mergeCell ref="G40:G43"/>
    <mergeCell ref="H40:H43"/>
    <mergeCell ref="E44:E47"/>
    <mergeCell ref="F44:F47"/>
    <mergeCell ref="G44:G47"/>
    <mergeCell ref="H44:H47"/>
    <mergeCell ref="E56:E59"/>
    <mergeCell ref="F56:F59"/>
    <mergeCell ref="G56:G59"/>
    <mergeCell ref="H56:H59"/>
    <mergeCell ref="E60:E63"/>
    <mergeCell ref="F60:F63"/>
    <mergeCell ref="G60:G63"/>
    <mergeCell ref="H60:H63"/>
    <mergeCell ref="E48:E51"/>
    <mergeCell ref="F48:F51"/>
    <mergeCell ref="G48:G51"/>
    <mergeCell ref="H48:H51"/>
    <mergeCell ref="E72:E75"/>
    <mergeCell ref="F72:F75"/>
    <mergeCell ref="G72:G75"/>
    <mergeCell ref="H72:H75"/>
    <mergeCell ref="E76:E79"/>
    <mergeCell ref="F76:F79"/>
    <mergeCell ref="G76:G79"/>
    <mergeCell ref="H76:H79"/>
    <mergeCell ref="E64:E67"/>
    <mergeCell ref="F64:F67"/>
    <mergeCell ref="G64:G67"/>
    <mergeCell ref="H64:H67"/>
    <mergeCell ref="E68:E71"/>
    <mergeCell ref="F68:F71"/>
    <mergeCell ref="G68:G71"/>
    <mergeCell ref="H68:H71"/>
    <mergeCell ref="E88:E91"/>
    <mergeCell ref="F88:F91"/>
    <mergeCell ref="G88:G91"/>
    <mergeCell ref="H88:H91"/>
    <mergeCell ref="E92:E95"/>
    <mergeCell ref="F92:F95"/>
    <mergeCell ref="G92:G95"/>
    <mergeCell ref="H92:H95"/>
    <mergeCell ref="E80:E83"/>
    <mergeCell ref="F80:F83"/>
    <mergeCell ref="G80:G83"/>
    <mergeCell ref="H80:H83"/>
    <mergeCell ref="E84:E87"/>
    <mergeCell ref="F84:F87"/>
    <mergeCell ref="G84:G87"/>
    <mergeCell ref="H84:H87"/>
    <mergeCell ref="E104:E107"/>
    <mergeCell ref="F104:F107"/>
    <mergeCell ref="G104:G107"/>
    <mergeCell ref="H104:H107"/>
    <mergeCell ref="E96:E99"/>
    <mergeCell ref="F96:F99"/>
    <mergeCell ref="G96:G99"/>
    <mergeCell ref="H96:H99"/>
    <mergeCell ref="E100:E103"/>
    <mergeCell ref="F100:F103"/>
    <mergeCell ref="G100:G103"/>
    <mergeCell ref="H100:H103"/>
  </mergeCells>
  <conditionalFormatting sqref="H8:H107">
    <cfRule type="cellIs" dxfId="18" priority="1" operator="equal">
      <formula>"Correct"</formula>
    </cfRule>
  </conditionalFormatting>
  <dataValidations count="2">
    <dataValidation type="list" allowBlank="1" showInputMessage="1" showErrorMessage="1" sqref="E8">
      <formula1>"A,B,C,D"</formula1>
    </dataValidation>
    <dataValidation type="list" allowBlank="1" showInputMessage="1" showErrorMessage="1" sqref="E12 E16 E20 E24 E28 E32 E36 E40 E44 E48 E52 E56 E60 E64 E68 E72 E76 E80 E84 E88 E92 E96 E100 E104">
      <formula1>"A,B,C"</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H101"/>
  <sheetViews>
    <sheetView showGridLines="0" showRowColHeaders="0" zoomScaleNormal="100" workbookViewId="0">
      <selection activeCell="B14" sqref="B12:E19"/>
    </sheetView>
  </sheetViews>
  <sheetFormatPr defaultColWidth="9.28515625" defaultRowHeight="15" x14ac:dyDescent="0.25"/>
  <cols>
    <col min="1" max="1" width="3" style="83" customWidth="1"/>
    <col min="2" max="2" width="3.85546875" style="44" bestFit="1" customWidth="1"/>
    <col min="3" max="3" width="3.85546875" style="98" customWidth="1"/>
    <col min="4" max="4" width="97.85546875" style="76" customWidth="1"/>
    <col min="5" max="5" width="7.85546875" style="84" customWidth="1"/>
    <col min="6" max="7" width="7.85546875" style="76" hidden="1" customWidth="1"/>
    <col min="8" max="8" width="66.5703125" style="76" hidden="1" customWidth="1"/>
    <col min="9" max="9" width="0" style="76" hidden="1" customWidth="1"/>
    <col min="10" max="16384" width="9.28515625" style="76"/>
  </cols>
  <sheetData>
    <row r="1" spans="1:8" ht="46.5" x14ac:dyDescent="0.25">
      <c r="D1" s="45" t="s">
        <v>466</v>
      </c>
    </row>
    <row r="3" spans="1:8" ht="15.75" thickBot="1" x14ac:dyDescent="0.3"/>
    <row r="4" spans="1:8" ht="19.5" thickBot="1" x14ac:dyDescent="0.3">
      <c r="B4" s="202" t="str">
        <f>IF('Engineer Self Assessment'!B16="Skilled","Please answer all questions from below.  If you don’t know the answer don’t guess, leave it blank.","As you have said you are not Frames skilled you do not need to complete this section.")</f>
        <v>As you have said you are not Frames skilled you do not need to complete this section.</v>
      </c>
      <c r="C4" s="203"/>
      <c r="D4" s="203"/>
      <c r="E4" s="204"/>
    </row>
    <row r="5" spans="1:8" ht="32.25" thickBot="1" x14ac:dyDescent="0.3">
      <c r="H5" s="66" t="str">
        <f>"Your score - "&amp;Scoresheet!D12&amp;"/"&amp;Scoresheet!U12</f>
        <v>Your score - /22</v>
      </c>
    </row>
    <row r="6" spans="1:8" x14ac:dyDescent="0.25">
      <c r="C6" s="99"/>
    </row>
    <row r="7" spans="1:8" ht="15.75" thickBot="1" x14ac:dyDescent="0.3"/>
    <row r="8" spans="1:8" x14ac:dyDescent="0.25">
      <c r="A8" s="83" t="s">
        <v>352</v>
      </c>
      <c r="B8" s="46">
        <v>1</v>
      </c>
      <c r="C8" s="100" t="s">
        <v>658</v>
      </c>
      <c r="D8" s="85"/>
      <c r="E8" s="191"/>
      <c r="F8" s="194" t="str">
        <f>IF(E8="","",IF(G8=E8,1,0))</f>
        <v/>
      </c>
      <c r="G8" s="194" t="s">
        <v>44</v>
      </c>
      <c r="H8" s="197" t="str">
        <f>IF(F8=1,"Correct","Incorrect:  When working on the MDF you must always wear your safety footwear and safety Eyewear.  These are mandatory.")</f>
        <v>Incorrect:  When working on the MDF you must always wear your safety footwear and safety Eyewear.  These are mandatory.</v>
      </c>
    </row>
    <row r="9" spans="1:8" x14ac:dyDescent="0.25">
      <c r="B9" s="47"/>
      <c r="C9" s="72" t="s">
        <v>43</v>
      </c>
      <c r="D9" s="69" t="s">
        <v>660</v>
      </c>
      <c r="E9" s="192"/>
      <c r="F9" s="195"/>
      <c r="G9" s="195"/>
      <c r="H9" s="198"/>
    </row>
    <row r="10" spans="1:8" x14ac:dyDescent="0.25">
      <c r="B10" s="47"/>
      <c r="C10" s="72" t="s">
        <v>44</v>
      </c>
      <c r="D10" s="69" t="s">
        <v>659</v>
      </c>
      <c r="E10" s="192"/>
      <c r="F10" s="195"/>
      <c r="G10" s="195"/>
      <c r="H10" s="198"/>
    </row>
    <row r="11" spans="1:8" ht="15.75" thickBot="1" x14ac:dyDescent="0.3">
      <c r="B11" s="47"/>
      <c r="C11" s="72" t="s">
        <v>45</v>
      </c>
      <c r="D11" s="69" t="s">
        <v>661</v>
      </c>
      <c r="E11" s="192"/>
      <c r="F11" s="195"/>
      <c r="G11" s="195"/>
      <c r="H11" s="198"/>
    </row>
    <row r="12" spans="1:8" x14ac:dyDescent="0.25">
      <c r="A12" s="83" t="s">
        <v>352</v>
      </c>
      <c r="B12" s="46">
        <v>2</v>
      </c>
      <c r="C12" s="101" t="s">
        <v>662</v>
      </c>
      <c r="D12" s="85"/>
      <c r="E12" s="191"/>
      <c r="F12" s="194" t="str">
        <f t="shared" ref="F12" si="0">IF(E12="","",IF(G12=E12,1,0))</f>
        <v/>
      </c>
      <c r="G12" s="194" t="s">
        <v>43</v>
      </c>
      <c r="H12" s="197" t="str">
        <f>IF(F12=1,"Correct","Incorrect:  You should always carry out a Risk Assessment as you do on every job as well as a proper safety check on the access Equipment you will be using e.g. travelling ladders etc.")</f>
        <v>Incorrect:  You should always carry out a Risk Assessment as you do on every job as well as a proper safety check on the access Equipment you will be using e.g. travelling ladders etc.</v>
      </c>
    </row>
    <row r="13" spans="1:8" x14ac:dyDescent="0.25">
      <c r="B13" s="47"/>
      <c r="C13" s="72" t="s">
        <v>43</v>
      </c>
      <c r="D13" s="69" t="s">
        <v>663</v>
      </c>
      <c r="E13" s="192"/>
      <c r="F13" s="195"/>
      <c r="G13" s="195"/>
      <c r="H13" s="198"/>
    </row>
    <row r="14" spans="1:8" x14ac:dyDescent="0.25">
      <c r="B14" s="47"/>
      <c r="C14" s="72" t="s">
        <v>44</v>
      </c>
      <c r="D14" s="86" t="s">
        <v>664</v>
      </c>
      <c r="E14" s="192"/>
      <c r="F14" s="195"/>
      <c r="G14" s="195"/>
      <c r="H14" s="198"/>
    </row>
    <row r="15" spans="1:8" ht="15.75" thickBot="1" x14ac:dyDescent="0.3">
      <c r="B15" s="48"/>
      <c r="C15" s="75" t="s">
        <v>45</v>
      </c>
      <c r="D15" s="88" t="s">
        <v>665</v>
      </c>
      <c r="E15" s="193"/>
      <c r="F15" s="195"/>
      <c r="G15" s="196"/>
      <c r="H15" s="214"/>
    </row>
    <row r="16" spans="1:8" x14ac:dyDescent="0.25">
      <c r="A16" s="83" t="s">
        <v>352</v>
      </c>
      <c r="B16" s="46">
        <v>3</v>
      </c>
      <c r="C16" s="102" t="s">
        <v>666</v>
      </c>
      <c r="D16" s="89"/>
      <c r="E16" s="191"/>
      <c r="F16" s="194" t="str">
        <f t="shared" ref="F16" si="1">IF(E16="","",IF(G16=E16,1,0))</f>
        <v/>
      </c>
      <c r="G16" s="194" t="s">
        <v>44</v>
      </c>
      <c r="H16" s="197" t="str">
        <f>IF(F16=1,"Correct","Incorrect:  You Must - Stop Work Immediately, Display Hazardous Voltage sign on MDF, remain on site.  Do Not allow anyone to work on the MDF.  Test the Circuit to confirm 'Hazardous Voltage Present'.  "&amp;"Report the incident to Frame Manager and your work control.  Follow full procedure on ISIS: PRD/MDF/B115 - 'Hazardous Voltages on MDF'.")</f>
        <v>Incorrect:  You Must - Stop Work Immediately, Display Hazardous Voltage sign on MDF, remain on site.  Do Not allow anyone to work on the MDF.  Test the Circuit to confirm 'Hazardous Voltage Present'.  Report the incident to Frame Manager and your work control.  Follow full procedure on ISIS: PRD/MDF/B115 - 'Hazardous Voltages on MDF'.</v>
      </c>
    </row>
    <row r="17" spans="1:8" ht="30" customHeight="1" x14ac:dyDescent="0.25">
      <c r="B17" s="47"/>
      <c r="C17" s="81" t="s">
        <v>43</v>
      </c>
      <c r="D17" s="108" t="s">
        <v>773</v>
      </c>
      <c r="E17" s="192"/>
      <c r="F17" s="195"/>
      <c r="G17" s="195"/>
      <c r="H17" s="198"/>
    </row>
    <row r="18" spans="1:8" ht="45" customHeight="1" x14ac:dyDescent="0.25">
      <c r="B18" s="47"/>
      <c r="C18" s="82" t="s">
        <v>44</v>
      </c>
      <c r="D18" s="105" t="s">
        <v>667</v>
      </c>
      <c r="E18" s="192"/>
      <c r="F18" s="195"/>
      <c r="G18" s="195"/>
      <c r="H18" s="198"/>
    </row>
    <row r="19" spans="1:8" ht="30" customHeight="1" thickBot="1" x14ac:dyDescent="0.3">
      <c r="B19" s="48"/>
      <c r="C19" s="82" t="s">
        <v>45</v>
      </c>
      <c r="D19" s="105" t="s">
        <v>668</v>
      </c>
      <c r="E19" s="193"/>
      <c r="F19" s="195"/>
      <c r="G19" s="196"/>
      <c r="H19" s="214"/>
    </row>
    <row r="20" spans="1:8" x14ac:dyDescent="0.25">
      <c r="A20" s="83" t="s">
        <v>352</v>
      </c>
      <c r="B20" s="46">
        <v>4</v>
      </c>
      <c r="C20" s="101" t="s">
        <v>676</v>
      </c>
      <c r="D20" s="85"/>
      <c r="E20" s="191"/>
      <c r="F20" s="194" t="str">
        <f t="shared" ref="F20" si="2">IF(E20="","",IF(G20=E20,1,0))</f>
        <v/>
      </c>
      <c r="G20" s="194" t="s">
        <v>43</v>
      </c>
      <c r="H20" s="197" t="str">
        <f>IF(F20=1,"Correct","Incorrect:  The steps of the ladder must always be clear as must the floor of the exchange so either ask the engineer to move the tools somewhere safe or remove them yourself and put them somewhere safe e.g a table.")</f>
        <v>Incorrect:  The steps of the ladder must always be clear as must the floor of the exchange so either ask the engineer to move the tools somewhere safe or remove them yourself and put them somewhere safe e.g a table.</v>
      </c>
    </row>
    <row r="21" spans="1:8" x14ac:dyDescent="0.25">
      <c r="B21" s="47"/>
      <c r="C21" s="72" t="s">
        <v>43</v>
      </c>
      <c r="D21" s="69" t="s">
        <v>679</v>
      </c>
      <c r="E21" s="192"/>
      <c r="F21" s="195"/>
      <c r="G21" s="195"/>
      <c r="H21" s="198"/>
    </row>
    <row r="22" spans="1:8" x14ac:dyDescent="0.25">
      <c r="B22" s="47"/>
      <c r="C22" s="72" t="s">
        <v>44</v>
      </c>
      <c r="D22" s="86" t="s">
        <v>677</v>
      </c>
      <c r="E22" s="192"/>
      <c r="F22" s="195"/>
      <c r="G22" s="195"/>
      <c r="H22" s="198"/>
    </row>
    <row r="23" spans="1:8" ht="15.75" thickBot="1" x14ac:dyDescent="0.3">
      <c r="B23" s="48"/>
      <c r="C23" s="75" t="s">
        <v>45</v>
      </c>
      <c r="D23" s="88" t="s">
        <v>678</v>
      </c>
      <c r="E23" s="193"/>
      <c r="F23" s="195"/>
      <c r="G23" s="196"/>
      <c r="H23" s="214"/>
    </row>
    <row r="24" spans="1:8" ht="27.95" customHeight="1" x14ac:dyDescent="0.25">
      <c r="A24" s="83" t="s">
        <v>352</v>
      </c>
      <c r="B24" s="46">
        <v>5</v>
      </c>
      <c r="C24" s="215" t="s">
        <v>680</v>
      </c>
      <c r="D24" s="216"/>
      <c r="E24" s="191"/>
      <c r="F24" s="194" t="str">
        <f t="shared" ref="F24" si="3">IF(E24="","",IF(G24=E24,1,0))</f>
        <v/>
      </c>
      <c r="G24" s="194" t="s">
        <v>44</v>
      </c>
      <c r="H24" s="197" t="str">
        <f>IF(F24=1,"Correct","Incorrect:  Trailing leads in exchanges are a real hazard and you should unplug the trailing cable if possible and plug it back in closer to the engineer so that the cable isnt trailing, several power sockets are provided in the exchange for this reason.")</f>
        <v>Incorrect:  Trailing leads in exchanges are a real hazard and you should unplug the trailing cable if possible and plug it back in closer to the engineer so that the cable isnt trailing, several power sockets are provided in the exchange for this reason.</v>
      </c>
    </row>
    <row r="25" spans="1:8" x14ac:dyDescent="0.25">
      <c r="B25" s="47"/>
      <c r="C25" s="72" t="s">
        <v>43</v>
      </c>
      <c r="D25" s="86" t="s">
        <v>774</v>
      </c>
      <c r="E25" s="192"/>
      <c r="F25" s="195"/>
      <c r="G25" s="195"/>
      <c r="H25" s="198"/>
    </row>
    <row r="26" spans="1:8" x14ac:dyDescent="0.25">
      <c r="B26" s="47"/>
      <c r="C26" s="72" t="s">
        <v>44</v>
      </c>
      <c r="D26" s="91" t="s">
        <v>775</v>
      </c>
      <c r="E26" s="192"/>
      <c r="F26" s="195"/>
      <c r="G26" s="195"/>
      <c r="H26" s="198"/>
    </row>
    <row r="27" spans="1:8" ht="15.75" thickBot="1" x14ac:dyDescent="0.3">
      <c r="B27" s="48"/>
      <c r="C27" s="75" t="s">
        <v>45</v>
      </c>
      <c r="D27" s="88" t="s">
        <v>776</v>
      </c>
      <c r="E27" s="193"/>
      <c r="F27" s="195"/>
      <c r="G27" s="196"/>
      <c r="H27" s="214"/>
    </row>
    <row r="28" spans="1:8" x14ac:dyDescent="0.25">
      <c r="A28" s="83" t="s">
        <v>355</v>
      </c>
      <c r="B28" s="46">
        <v>6</v>
      </c>
      <c r="C28" s="101" t="s">
        <v>681</v>
      </c>
      <c r="D28" s="85"/>
      <c r="E28" s="191"/>
      <c r="F28" s="194" t="str">
        <f t="shared" ref="F28" si="4">IF(E28="","",IF(G28=E28,1,0))</f>
        <v/>
      </c>
      <c r="G28" s="194" t="s">
        <v>43</v>
      </c>
      <c r="H28" s="197" t="str">
        <f>IF(F28=1,"Correct","Incorrect:  There should be only 1mm gap between the Insulation and the tag.")</f>
        <v>Incorrect:  There should be only 1mm gap between the Insulation and the tag.</v>
      </c>
    </row>
    <row r="29" spans="1:8" x14ac:dyDescent="0.25">
      <c r="B29" s="47"/>
      <c r="C29" s="72" t="s">
        <v>43</v>
      </c>
      <c r="D29" s="86" t="s">
        <v>682</v>
      </c>
      <c r="E29" s="192"/>
      <c r="F29" s="195"/>
      <c r="G29" s="195"/>
      <c r="H29" s="198"/>
    </row>
    <row r="30" spans="1:8" x14ac:dyDescent="0.25">
      <c r="B30" s="47"/>
      <c r="C30" s="72" t="s">
        <v>44</v>
      </c>
      <c r="D30" s="69" t="s">
        <v>683</v>
      </c>
      <c r="E30" s="192"/>
      <c r="F30" s="195"/>
      <c r="G30" s="195"/>
      <c r="H30" s="198"/>
    </row>
    <row r="31" spans="1:8" ht="15.75" thickBot="1" x14ac:dyDescent="0.3">
      <c r="B31" s="48"/>
      <c r="C31" s="75" t="s">
        <v>45</v>
      </c>
      <c r="D31" s="88" t="s">
        <v>684</v>
      </c>
      <c r="E31" s="193"/>
      <c r="F31" s="195"/>
      <c r="G31" s="196"/>
      <c r="H31" s="214"/>
    </row>
    <row r="32" spans="1:8" x14ac:dyDescent="0.25">
      <c r="A32" s="83" t="s">
        <v>355</v>
      </c>
      <c r="B32" s="46">
        <v>7</v>
      </c>
      <c r="C32" s="101" t="s">
        <v>685</v>
      </c>
      <c r="D32" s="85"/>
      <c r="E32" s="191"/>
      <c r="F32" s="194" t="str">
        <f t="shared" ref="F32" si="5">IF(E32="","",IF(G32=E32,1,0))</f>
        <v/>
      </c>
      <c r="G32" s="194" t="s">
        <v>43</v>
      </c>
      <c r="H32" s="197" t="str">
        <f>IF(F32=1,"Correct","Incorrect:  If you run a jumper wire and it is less than 9m you should leave 50mm (Wrapped round your index finger once) of slack when terminating the pair.")</f>
        <v>Incorrect:  If you run a jumper wire and it is less than 9m you should leave 50mm (Wrapped round your index finger once) of slack when terminating the pair.</v>
      </c>
    </row>
    <row r="33" spans="1:8" x14ac:dyDescent="0.25">
      <c r="B33" s="47"/>
      <c r="C33" s="72" t="s">
        <v>43</v>
      </c>
      <c r="D33" s="69" t="s">
        <v>686</v>
      </c>
      <c r="E33" s="192"/>
      <c r="F33" s="195"/>
      <c r="G33" s="195"/>
      <c r="H33" s="198"/>
    </row>
    <row r="34" spans="1:8" x14ac:dyDescent="0.25">
      <c r="B34" s="47"/>
      <c r="C34" s="72" t="s">
        <v>44</v>
      </c>
      <c r="D34" s="86" t="s">
        <v>687</v>
      </c>
      <c r="E34" s="192"/>
      <c r="F34" s="195"/>
      <c r="G34" s="195"/>
      <c r="H34" s="198"/>
    </row>
    <row r="35" spans="1:8" ht="15.75" thickBot="1" x14ac:dyDescent="0.3">
      <c r="B35" s="48"/>
      <c r="C35" s="75" t="s">
        <v>45</v>
      </c>
      <c r="D35" s="88" t="s">
        <v>688</v>
      </c>
      <c r="E35" s="193"/>
      <c r="F35" s="195"/>
      <c r="G35" s="196"/>
      <c r="H35" s="214"/>
    </row>
    <row r="36" spans="1:8" x14ac:dyDescent="0.25">
      <c r="A36" s="83" t="s">
        <v>355</v>
      </c>
      <c r="B36" s="46">
        <v>8</v>
      </c>
      <c r="C36" s="101" t="s">
        <v>689</v>
      </c>
      <c r="D36" s="85"/>
      <c r="E36" s="191"/>
      <c r="F36" s="194" t="str">
        <f t="shared" ref="F36" si="6">IF(E36="","",IF(G36=E36,1,0))</f>
        <v/>
      </c>
      <c r="G36" s="194" t="s">
        <v>44</v>
      </c>
      <c r="H36" s="197" t="str">
        <f>IF(F36=1,"Correct","Incorrect:  If you run a jumper wire and it is more than 9m you should leave 100mm (Wrapped round your first two fingers) of slack when terminating the pair.")</f>
        <v>Incorrect:  If you run a jumper wire and it is more than 9m you should leave 100mm (Wrapped round your first two fingers) of slack when terminating the pair.</v>
      </c>
    </row>
    <row r="37" spans="1:8" x14ac:dyDescent="0.25">
      <c r="B37" s="47"/>
      <c r="C37" s="72" t="s">
        <v>43</v>
      </c>
      <c r="D37" s="69" t="s">
        <v>686</v>
      </c>
      <c r="E37" s="192"/>
      <c r="F37" s="195"/>
      <c r="G37" s="195"/>
      <c r="H37" s="198"/>
    </row>
    <row r="38" spans="1:8" x14ac:dyDescent="0.25">
      <c r="B38" s="47"/>
      <c r="C38" s="72" t="s">
        <v>44</v>
      </c>
      <c r="D38" s="86" t="s">
        <v>687</v>
      </c>
      <c r="E38" s="192"/>
      <c r="F38" s="195"/>
      <c r="G38" s="195"/>
      <c r="H38" s="198"/>
    </row>
    <row r="39" spans="1:8" ht="15.75" thickBot="1" x14ac:dyDescent="0.3">
      <c r="B39" s="48"/>
      <c r="C39" s="75" t="s">
        <v>45</v>
      </c>
      <c r="D39" s="88" t="s">
        <v>688</v>
      </c>
      <c r="E39" s="193"/>
      <c r="F39" s="195"/>
      <c r="G39" s="196"/>
      <c r="H39" s="214"/>
    </row>
    <row r="40" spans="1:8" ht="27.95" customHeight="1" x14ac:dyDescent="0.25">
      <c r="A40" s="83" t="s">
        <v>355</v>
      </c>
      <c r="B40" s="46">
        <v>9</v>
      </c>
      <c r="C40" s="215" t="s">
        <v>690</v>
      </c>
      <c r="D40" s="216"/>
      <c r="E40" s="191"/>
      <c r="F40" s="194" t="str">
        <f t="shared" ref="F40" si="7">IF(E40="","",IF(G40=E40,1,0))</f>
        <v/>
      </c>
      <c r="G40" s="194" t="s">
        <v>44</v>
      </c>
      <c r="H40" s="197" t="str">
        <f>IF(F40=1,"Correct","Incorrect:  The bare jumper should be wrapped around the tag one and a half times before being soldered.")</f>
        <v>Incorrect:  The bare jumper should be wrapped around the tag one and a half times before being soldered.</v>
      </c>
    </row>
    <row r="41" spans="1:8" x14ac:dyDescent="0.25">
      <c r="B41" s="47"/>
      <c r="C41" s="72" t="s">
        <v>43</v>
      </c>
      <c r="D41" s="69" t="s">
        <v>691</v>
      </c>
      <c r="E41" s="192"/>
      <c r="F41" s="195"/>
      <c r="G41" s="195"/>
      <c r="H41" s="198"/>
    </row>
    <row r="42" spans="1:8" x14ac:dyDescent="0.25">
      <c r="B42" s="47"/>
      <c r="C42" s="72" t="s">
        <v>44</v>
      </c>
      <c r="D42" s="86" t="s">
        <v>692</v>
      </c>
      <c r="E42" s="192"/>
      <c r="F42" s="195"/>
      <c r="G42" s="195"/>
      <c r="H42" s="198"/>
    </row>
    <row r="43" spans="1:8" ht="15.75" thickBot="1" x14ac:dyDescent="0.3">
      <c r="B43" s="48"/>
      <c r="C43" s="75" t="s">
        <v>45</v>
      </c>
      <c r="D43" s="88" t="s">
        <v>693</v>
      </c>
      <c r="E43" s="193"/>
      <c r="F43" s="195"/>
      <c r="G43" s="196"/>
      <c r="H43" s="214"/>
    </row>
    <row r="44" spans="1:8" x14ac:dyDescent="0.25">
      <c r="A44" s="83" t="s">
        <v>355</v>
      </c>
      <c r="B44" s="46">
        <v>10</v>
      </c>
      <c r="C44" s="101" t="s">
        <v>694</v>
      </c>
      <c r="D44" s="85"/>
      <c r="E44" s="191"/>
      <c r="F44" s="194" t="str">
        <f t="shared" ref="F44" si="8">IF(E44="","",IF(G44=E44,1,0))</f>
        <v/>
      </c>
      <c r="G44" s="194" t="s">
        <v>44</v>
      </c>
      <c r="H44" s="197" t="str">
        <f>IF(F44=1,"Correct","Incorrect: You must replace the fuse with a new type fuse and dispose of the old fuse, this should not be reused or put into another port.")</f>
        <v>Incorrect: You must replace the fuse with a new type fuse and dispose of the old fuse, this should not be reused or put into another port.</v>
      </c>
    </row>
    <row r="45" spans="1:8" x14ac:dyDescent="0.25">
      <c r="B45" s="47"/>
      <c r="C45" s="72" t="s">
        <v>43</v>
      </c>
      <c r="D45" s="69" t="s">
        <v>695</v>
      </c>
      <c r="E45" s="192"/>
      <c r="F45" s="195"/>
      <c r="G45" s="195"/>
      <c r="H45" s="198"/>
    </row>
    <row r="46" spans="1:8" x14ac:dyDescent="0.25">
      <c r="B46" s="47"/>
      <c r="C46" s="72" t="s">
        <v>44</v>
      </c>
      <c r="D46" s="86" t="s">
        <v>697</v>
      </c>
      <c r="E46" s="192"/>
      <c r="F46" s="195"/>
      <c r="G46" s="195"/>
      <c r="H46" s="198"/>
    </row>
    <row r="47" spans="1:8" ht="15.75" thickBot="1" x14ac:dyDescent="0.3">
      <c r="B47" s="48"/>
      <c r="C47" s="75" t="s">
        <v>45</v>
      </c>
      <c r="D47" s="88" t="s">
        <v>696</v>
      </c>
      <c r="E47" s="193"/>
      <c r="F47" s="195"/>
      <c r="G47" s="196"/>
      <c r="H47" s="214"/>
    </row>
    <row r="48" spans="1:8" x14ac:dyDescent="0.25">
      <c r="A48" s="83" t="s">
        <v>355</v>
      </c>
      <c r="B48" s="46">
        <v>11</v>
      </c>
      <c r="C48" s="101" t="s">
        <v>698</v>
      </c>
      <c r="D48" s="85"/>
      <c r="E48" s="191"/>
      <c r="F48" s="194" t="str">
        <f t="shared" ref="F48" si="9">IF(E48="","",IF(G48=E48,1,0))</f>
        <v/>
      </c>
      <c r="G48" s="194" t="s">
        <v>45</v>
      </c>
      <c r="H48" s="197" t="str">
        <f>IF(F48=1,"Correct","Incorrect:  You should re-solder all dry joints on the block you are working on to ensure the block is up to standard.")</f>
        <v>Incorrect:  You should re-solder all dry joints on the block you are working on to ensure the block is up to standard.</v>
      </c>
    </row>
    <row r="49" spans="1:8" x14ac:dyDescent="0.25">
      <c r="B49" s="47"/>
      <c r="C49" s="72" t="s">
        <v>43</v>
      </c>
      <c r="D49" s="69" t="s">
        <v>777</v>
      </c>
      <c r="E49" s="192"/>
      <c r="F49" s="195"/>
      <c r="G49" s="195"/>
      <c r="H49" s="198"/>
    </row>
    <row r="50" spans="1:8" x14ac:dyDescent="0.25">
      <c r="B50" s="47"/>
      <c r="C50" s="72" t="s">
        <v>44</v>
      </c>
      <c r="D50" s="86" t="s">
        <v>700</v>
      </c>
      <c r="E50" s="192"/>
      <c r="F50" s="195"/>
      <c r="G50" s="195"/>
      <c r="H50" s="198"/>
    </row>
    <row r="51" spans="1:8" ht="15.75" thickBot="1" x14ac:dyDescent="0.3">
      <c r="B51" s="48"/>
      <c r="C51" s="75" t="s">
        <v>45</v>
      </c>
      <c r="D51" s="88" t="s">
        <v>699</v>
      </c>
      <c r="E51" s="193"/>
      <c r="F51" s="195"/>
      <c r="G51" s="196"/>
      <c r="H51" s="214"/>
    </row>
    <row r="52" spans="1:8" ht="15" customHeight="1" x14ac:dyDescent="0.25">
      <c r="A52" s="83" t="s">
        <v>355</v>
      </c>
      <c r="B52" s="46">
        <v>12</v>
      </c>
      <c r="C52" s="215" t="s">
        <v>701</v>
      </c>
      <c r="D52" s="216"/>
      <c r="E52" s="191"/>
      <c r="F52" s="194" t="str">
        <f t="shared" ref="F52" si="10">IF(E52="","",IF(G52=E52,1,0))</f>
        <v/>
      </c>
      <c r="G52" s="194" t="s">
        <v>43</v>
      </c>
      <c r="H52" s="197" t="str">
        <f>IF(F52=1,"Correct","Incorrect:  This is a 5 point defect.  All scrap should be recovered when a jumper wire is recovered and should be dispossed off approprietaly.")</f>
        <v>Incorrect:  This is a 5 point defect.  All scrap should be recovered when a jumper wire is recovered and should be dispossed off approprietaly.</v>
      </c>
    </row>
    <row r="53" spans="1:8" x14ac:dyDescent="0.25">
      <c r="B53" s="47"/>
      <c r="C53" s="72" t="s">
        <v>43</v>
      </c>
      <c r="D53" s="69" t="s">
        <v>702</v>
      </c>
      <c r="E53" s="192"/>
      <c r="F53" s="195"/>
      <c r="G53" s="195"/>
      <c r="H53" s="198"/>
    </row>
    <row r="54" spans="1:8" x14ac:dyDescent="0.25">
      <c r="B54" s="47"/>
      <c r="C54" s="72" t="s">
        <v>44</v>
      </c>
      <c r="D54" s="86" t="s">
        <v>703</v>
      </c>
      <c r="E54" s="192"/>
      <c r="F54" s="195"/>
      <c r="G54" s="195"/>
      <c r="H54" s="198"/>
    </row>
    <row r="55" spans="1:8" ht="15.75" thickBot="1" x14ac:dyDescent="0.3">
      <c r="B55" s="48"/>
      <c r="C55" s="75" t="s">
        <v>45</v>
      </c>
      <c r="D55" s="88" t="s">
        <v>704</v>
      </c>
      <c r="E55" s="193"/>
      <c r="F55" s="195"/>
      <c r="G55" s="196"/>
      <c r="H55" s="214"/>
    </row>
    <row r="56" spans="1:8" x14ac:dyDescent="0.25">
      <c r="A56" s="83" t="s">
        <v>355</v>
      </c>
      <c r="B56" s="46">
        <v>13</v>
      </c>
      <c r="C56" s="101" t="s">
        <v>705</v>
      </c>
      <c r="D56" s="85"/>
      <c r="E56" s="191"/>
      <c r="F56" s="194" t="str">
        <f t="shared" ref="F56" si="11">IF(E56="","",IF(G56=E56,1,0))</f>
        <v/>
      </c>
      <c r="G56" s="194" t="s">
        <v>43</v>
      </c>
      <c r="H56" s="197" t="str">
        <f>IF(F56=1,"Correct","Incorrect:  Jumper wires must be fully removed and then dispossed of properly in the provided wire disposal bags, do not put jumper wire in the normal trash bins and do not leave the wire on the jumper bed as this causes congestion,"&amp;" however if the jumper bed is already congested and the jumper cannot be pulled free then it is ok to cut the ends of the jumper and leave the jumper tidy in the bed.")</f>
        <v>Incorrect:  Jumper wires must be fully removed and then dispossed of properly in the provided wire disposal bags, do not put jumper wire in the normal trash bins and do not leave the wire on the jumper bed as this causes congestion, however if the jumper bed is already congested and the jumper cannot be pulled free then it is ok to cut the ends of the jumper and leave the jumper tidy in the bed.</v>
      </c>
    </row>
    <row r="57" spans="1:8" ht="30" customHeight="1" x14ac:dyDescent="0.25">
      <c r="B57" s="47"/>
      <c r="C57" s="72" t="s">
        <v>43</v>
      </c>
      <c r="D57" s="95" t="s">
        <v>787</v>
      </c>
      <c r="E57" s="192"/>
      <c r="F57" s="195"/>
      <c r="G57" s="195"/>
      <c r="H57" s="198"/>
    </row>
    <row r="58" spans="1:8" ht="30" customHeight="1" x14ac:dyDescent="0.25">
      <c r="B58" s="47"/>
      <c r="C58" s="72" t="s">
        <v>44</v>
      </c>
      <c r="D58" s="86" t="s">
        <v>706</v>
      </c>
      <c r="E58" s="192"/>
      <c r="F58" s="195"/>
      <c r="G58" s="195"/>
      <c r="H58" s="198"/>
    </row>
    <row r="59" spans="1:8" ht="15.75" thickBot="1" x14ac:dyDescent="0.3">
      <c r="B59" s="48"/>
      <c r="C59" s="75" t="s">
        <v>45</v>
      </c>
      <c r="D59" s="88" t="s">
        <v>707</v>
      </c>
      <c r="E59" s="193"/>
      <c r="F59" s="195"/>
      <c r="G59" s="196"/>
      <c r="H59" s="214"/>
    </row>
    <row r="60" spans="1:8" x14ac:dyDescent="0.25">
      <c r="A60" s="83" t="s">
        <v>354</v>
      </c>
      <c r="B60" s="46">
        <v>14</v>
      </c>
      <c r="C60" s="101" t="s">
        <v>708</v>
      </c>
      <c r="D60" s="85"/>
      <c r="E60" s="191"/>
      <c r="F60" s="194" t="str">
        <f t="shared" ref="F60" si="12">IF(E60="","",IF(G60=E60,1,0))</f>
        <v/>
      </c>
      <c r="G60" s="194" t="s">
        <v>44</v>
      </c>
      <c r="H60" s="197" t="str">
        <f>IF(F60=1,"Correct","Incorrect:  If the Eclipse test fails, you should recheck your own work and then re-test your circuit.")</f>
        <v>Incorrect:  If the Eclipse test fails, you should recheck your own work and then re-test your circuit.</v>
      </c>
    </row>
    <row r="61" spans="1:8" x14ac:dyDescent="0.25">
      <c r="B61" s="47"/>
      <c r="C61" s="72" t="s">
        <v>43</v>
      </c>
      <c r="D61" s="69" t="s">
        <v>709</v>
      </c>
      <c r="E61" s="192"/>
      <c r="F61" s="195"/>
      <c r="G61" s="195"/>
      <c r="H61" s="198"/>
    </row>
    <row r="62" spans="1:8" x14ac:dyDescent="0.25">
      <c r="B62" s="47"/>
      <c r="C62" s="72" t="s">
        <v>44</v>
      </c>
      <c r="D62" s="86" t="s">
        <v>789</v>
      </c>
      <c r="E62" s="192"/>
      <c r="F62" s="195"/>
      <c r="G62" s="195"/>
      <c r="H62" s="198"/>
    </row>
    <row r="63" spans="1:8" ht="15.75" thickBot="1" x14ac:dyDescent="0.3">
      <c r="B63" s="48"/>
      <c r="C63" s="75" t="s">
        <v>45</v>
      </c>
      <c r="D63" s="88" t="s">
        <v>710</v>
      </c>
      <c r="E63" s="193"/>
      <c r="F63" s="195"/>
      <c r="G63" s="196"/>
      <c r="H63" s="214"/>
    </row>
    <row r="64" spans="1:8" x14ac:dyDescent="0.25">
      <c r="A64" s="83" t="s">
        <v>354</v>
      </c>
      <c r="B64" s="46">
        <v>15</v>
      </c>
      <c r="C64" s="101" t="s">
        <v>711</v>
      </c>
      <c r="D64" s="85"/>
      <c r="E64" s="191"/>
      <c r="F64" s="194" t="str">
        <f t="shared" ref="F64" si="13">IF(E64="","",IF(G64=E64,1,0))</f>
        <v/>
      </c>
      <c r="G64" s="194" t="s">
        <v>45</v>
      </c>
      <c r="H64" s="197" t="str">
        <f>IF(F64=1,"Correct","Incorrect:  You should perform a manual Fasttest on the circuit, or test via myjobs if possible.")</f>
        <v>Incorrect:  You should perform a manual Fasttest on the circuit, or test via myjobs if possible.</v>
      </c>
    </row>
    <row r="65" spans="1:8" x14ac:dyDescent="0.25">
      <c r="B65" s="47"/>
      <c r="C65" s="72" t="s">
        <v>43</v>
      </c>
      <c r="D65" s="69" t="s">
        <v>712</v>
      </c>
      <c r="E65" s="192"/>
      <c r="F65" s="195"/>
      <c r="G65" s="195"/>
      <c r="H65" s="198"/>
    </row>
    <row r="66" spans="1:8" x14ac:dyDescent="0.25">
      <c r="B66" s="47"/>
      <c r="C66" s="72" t="s">
        <v>44</v>
      </c>
      <c r="D66" s="86" t="s">
        <v>713</v>
      </c>
      <c r="E66" s="192"/>
      <c r="F66" s="195"/>
      <c r="G66" s="195"/>
      <c r="H66" s="198"/>
    </row>
    <row r="67" spans="1:8" ht="15.75" thickBot="1" x14ac:dyDescent="0.3">
      <c r="B67" s="48"/>
      <c r="C67" s="75" t="s">
        <v>45</v>
      </c>
      <c r="D67" s="88" t="s">
        <v>788</v>
      </c>
      <c r="E67" s="193"/>
      <c r="F67" s="195"/>
      <c r="G67" s="196"/>
      <c r="H67" s="214"/>
    </row>
    <row r="68" spans="1:8" x14ac:dyDescent="0.25">
      <c r="A68" s="83" t="s">
        <v>354</v>
      </c>
      <c r="B68" s="46">
        <v>16</v>
      </c>
      <c r="C68" s="101" t="s">
        <v>714</v>
      </c>
      <c r="D68" s="85"/>
      <c r="E68" s="191"/>
      <c r="F68" s="194" t="str">
        <f t="shared" ref="F68" si="14">IF(E68="","",IF(G68=E68,1,0))</f>
        <v/>
      </c>
      <c r="G68" s="194" t="s">
        <v>44</v>
      </c>
      <c r="H68" s="197" t="str">
        <f>IF(F68=1,"Correct","Incorrect:  You would use DOCE to identify the LIC/Conc on the circuit you are working on.")</f>
        <v>Incorrect:  You would use DOCE to identify the LIC/Conc on the circuit you are working on.</v>
      </c>
    </row>
    <row r="69" spans="1:8" x14ac:dyDescent="0.25">
      <c r="B69" s="47"/>
      <c r="C69" s="72" t="s">
        <v>43</v>
      </c>
      <c r="D69" s="69" t="s">
        <v>716</v>
      </c>
      <c r="E69" s="192"/>
      <c r="F69" s="195"/>
      <c r="G69" s="195"/>
      <c r="H69" s="198"/>
    </row>
    <row r="70" spans="1:8" x14ac:dyDescent="0.25">
      <c r="B70" s="47"/>
      <c r="C70" s="72" t="s">
        <v>44</v>
      </c>
      <c r="D70" s="86" t="s">
        <v>715</v>
      </c>
      <c r="E70" s="192"/>
      <c r="F70" s="195"/>
      <c r="G70" s="195"/>
      <c r="H70" s="198"/>
    </row>
    <row r="71" spans="1:8" ht="15.75" thickBot="1" x14ac:dyDescent="0.3">
      <c r="B71" s="48"/>
      <c r="C71" s="75" t="s">
        <v>45</v>
      </c>
      <c r="D71" s="88" t="s">
        <v>717</v>
      </c>
      <c r="E71" s="193"/>
      <c r="F71" s="195"/>
      <c r="G71" s="196"/>
      <c r="H71" s="214"/>
    </row>
    <row r="72" spans="1:8" x14ac:dyDescent="0.25">
      <c r="A72" s="83" t="s">
        <v>354</v>
      </c>
      <c r="B72" s="46">
        <v>17</v>
      </c>
      <c r="C72" s="101" t="s">
        <v>718</v>
      </c>
      <c r="D72" s="85"/>
      <c r="E72" s="191"/>
      <c r="F72" s="194" t="str">
        <f t="shared" ref="F72" si="15">IF(E72="","",IF(G72=E72,1,0))</f>
        <v/>
      </c>
      <c r="G72" s="194" t="s">
        <v>45</v>
      </c>
      <c r="H72" s="197" t="str">
        <f>IF(F72=1,"Correct","Incorrect:  You would use DFJ to identify the mapping on your circuit, DRT may also be used.")</f>
        <v>Incorrect:  You would use DFJ to identify the mapping on your circuit, DRT may also be used.</v>
      </c>
    </row>
    <row r="73" spans="1:8" x14ac:dyDescent="0.25">
      <c r="B73" s="47"/>
      <c r="C73" s="72" t="s">
        <v>43</v>
      </c>
      <c r="D73" s="69" t="s">
        <v>790</v>
      </c>
      <c r="E73" s="192"/>
      <c r="F73" s="195"/>
      <c r="G73" s="195"/>
      <c r="H73" s="198"/>
    </row>
    <row r="74" spans="1:8" x14ac:dyDescent="0.25">
      <c r="B74" s="47"/>
      <c r="C74" s="72" t="s">
        <v>44</v>
      </c>
      <c r="D74" s="86" t="s">
        <v>715</v>
      </c>
      <c r="E74" s="192"/>
      <c r="F74" s="195"/>
      <c r="G74" s="195"/>
      <c r="H74" s="198"/>
    </row>
    <row r="75" spans="1:8" ht="15.75" thickBot="1" x14ac:dyDescent="0.3">
      <c r="B75" s="48"/>
      <c r="C75" s="75" t="s">
        <v>45</v>
      </c>
      <c r="D75" s="88" t="s">
        <v>719</v>
      </c>
      <c r="E75" s="193"/>
      <c r="F75" s="195"/>
      <c r="G75" s="196"/>
      <c r="H75" s="214"/>
    </row>
    <row r="76" spans="1:8" x14ac:dyDescent="0.25">
      <c r="A76" s="83" t="s">
        <v>354</v>
      </c>
      <c r="B76" s="46">
        <v>18</v>
      </c>
      <c r="C76" s="101" t="s">
        <v>720</v>
      </c>
      <c r="D76" s="85"/>
      <c r="E76" s="191"/>
      <c r="F76" s="194" t="str">
        <f t="shared" ref="F76" si="16">IF(E76="","",IF(G76=E76,1,0))</f>
        <v/>
      </c>
      <c r="G76" s="194" t="s">
        <v>43</v>
      </c>
      <c r="H76" s="197" t="str">
        <f>IF(F76=1,"Correct","Incorrect:  You would use DRT to identify the bar pair on your circuit, DFJ may also be used.")</f>
        <v>Incorrect:  You would use DRT to identify the bar pair on your circuit, DFJ may also be used.</v>
      </c>
    </row>
    <row r="77" spans="1:8" x14ac:dyDescent="0.25">
      <c r="B77" s="47"/>
      <c r="C77" s="72" t="s">
        <v>43</v>
      </c>
      <c r="D77" s="69" t="s">
        <v>716</v>
      </c>
      <c r="E77" s="192"/>
      <c r="F77" s="195"/>
      <c r="G77" s="195"/>
      <c r="H77" s="198"/>
    </row>
    <row r="78" spans="1:8" x14ac:dyDescent="0.25">
      <c r="B78" s="47"/>
      <c r="C78" s="72" t="s">
        <v>44</v>
      </c>
      <c r="D78" s="86" t="s">
        <v>715</v>
      </c>
      <c r="E78" s="192"/>
      <c r="F78" s="195"/>
      <c r="G78" s="195"/>
      <c r="H78" s="198"/>
    </row>
    <row r="79" spans="1:8" ht="15.75" thickBot="1" x14ac:dyDescent="0.3">
      <c r="B79" s="48"/>
      <c r="C79" s="75" t="s">
        <v>45</v>
      </c>
      <c r="D79" s="88" t="s">
        <v>717</v>
      </c>
      <c r="E79" s="193"/>
      <c r="F79" s="195"/>
      <c r="G79" s="196"/>
      <c r="H79" s="214"/>
    </row>
    <row r="80" spans="1:8" x14ac:dyDescent="0.25">
      <c r="A80" s="83" t="s">
        <v>354</v>
      </c>
      <c r="B80" s="46">
        <v>19</v>
      </c>
      <c r="C80" s="101" t="s">
        <v>725</v>
      </c>
      <c r="D80" s="85"/>
      <c r="E80" s="191"/>
      <c r="F80" s="194" t="str">
        <f t="shared" ref="F80" si="17">IF(E80="","",IF(G80=E80,1,0))</f>
        <v/>
      </c>
      <c r="G80" s="194" t="s">
        <v>44</v>
      </c>
      <c r="H80" s="197" t="str">
        <f>IF(F80=1,"Correct","Incorrect:  The TAM is a Test access Matrix - Test Equimpent for MPF Circuits.")</f>
        <v>Incorrect:  The TAM is a Test access Matrix - Test Equimpent for MPF Circuits.</v>
      </c>
    </row>
    <row r="81" spans="1:8" x14ac:dyDescent="0.25">
      <c r="B81" s="47"/>
      <c r="C81" s="72" t="s">
        <v>43</v>
      </c>
      <c r="D81" s="69" t="s">
        <v>722</v>
      </c>
      <c r="E81" s="192"/>
      <c r="F81" s="195"/>
      <c r="G81" s="195"/>
      <c r="H81" s="198"/>
    </row>
    <row r="82" spans="1:8" x14ac:dyDescent="0.25">
      <c r="B82" s="47"/>
      <c r="C82" s="72" t="s">
        <v>44</v>
      </c>
      <c r="D82" s="86" t="s">
        <v>721</v>
      </c>
      <c r="E82" s="192"/>
      <c r="F82" s="195"/>
      <c r="G82" s="195"/>
      <c r="H82" s="198"/>
    </row>
    <row r="83" spans="1:8" ht="15.75" thickBot="1" x14ac:dyDescent="0.3">
      <c r="B83" s="48"/>
      <c r="C83" s="75" t="s">
        <v>45</v>
      </c>
      <c r="D83" s="88" t="s">
        <v>723</v>
      </c>
      <c r="E83" s="193"/>
      <c r="F83" s="195"/>
      <c r="G83" s="196"/>
      <c r="H83" s="214"/>
    </row>
    <row r="84" spans="1:8" x14ac:dyDescent="0.25">
      <c r="A84" s="83" t="s">
        <v>354</v>
      </c>
      <c r="B84" s="46">
        <v>20</v>
      </c>
      <c r="C84" s="101" t="s">
        <v>724</v>
      </c>
      <c r="D84" s="85"/>
      <c r="E84" s="191"/>
      <c r="F84" s="194" t="str">
        <f t="shared" ref="F84" si="18">IF(E84="","",IF(G84=E84,1,0))</f>
        <v/>
      </c>
      <c r="G84" s="194" t="s">
        <v>226</v>
      </c>
      <c r="H84" s="197" t="str">
        <f>IF(F84=1,"Correct","Incorrect:  The TAM can be used for all listed here, as a remote Tester for MPF circuits, to look in towards the CP and out towards the customer.")</f>
        <v>Incorrect:  The TAM can be used for all listed here, as a remote Tester for MPF circuits, to look in towards the CP and out towards the customer.</v>
      </c>
    </row>
    <row r="85" spans="1:8" x14ac:dyDescent="0.25">
      <c r="B85" s="47"/>
      <c r="C85" s="72" t="s">
        <v>43</v>
      </c>
      <c r="D85" s="69" t="s">
        <v>726</v>
      </c>
      <c r="E85" s="192"/>
      <c r="F85" s="195"/>
      <c r="G85" s="195"/>
      <c r="H85" s="198"/>
    </row>
    <row r="86" spans="1:8" x14ac:dyDescent="0.25">
      <c r="B86" s="47"/>
      <c r="C86" s="72" t="s">
        <v>44</v>
      </c>
      <c r="D86" s="69" t="s">
        <v>727</v>
      </c>
      <c r="E86" s="192"/>
      <c r="F86" s="195"/>
      <c r="G86" s="195"/>
      <c r="H86" s="198"/>
    </row>
    <row r="87" spans="1:8" x14ac:dyDescent="0.25">
      <c r="B87" s="47"/>
      <c r="C87" s="72" t="s">
        <v>45</v>
      </c>
      <c r="D87" s="86" t="s">
        <v>728</v>
      </c>
      <c r="E87" s="192"/>
      <c r="F87" s="195"/>
      <c r="G87" s="195"/>
      <c r="H87" s="198"/>
    </row>
    <row r="88" spans="1:8" ht="15.75" thickBot="1" x14ac:dyDescent="0.3">
      <c r="B88" s="48"/>
      <c r="C88" s="75" t="s">
        <v>226</v>
      </c>
      <c r="D88" s="88" t="s">
        <v>47</v>
      </c>
      <c r="E88" s="193"/>
      <c r="F88" s="195"/>
      <c r="G88" s="196"/>
      <c r="H88" s="214"/>
    </row>
    <row r="89" spans="1:8" x14ac:dyDescent="0.25">
      <c r="A89" s="83" t="s">
        <v>354</v>
      </c>
      <c r="B89" s="46">
        <v>21</v>
      </c>
      <c r="C89" s="101" t="s">
        <v>729</v>
      </c>
      <c r="D89" s="85"/>
      <c r="E89" s="191"/>
      <c r="F89" s="194" t="str">
        <f t="shared" ref="F89" si="19">IF(E89="","",IF(G89=E89,1,0))</f>
        <v/>
      </c>
      <c r="G89" s="194" t="s">
        <v>44</v>
      </c>
      <c r="H89" s="197" t="str">
        <f>IF(F89=1,"Correct","Incorrect:  You should contact the Line Test Systems helpdesk through the DCoE.")</f>
        <v>Incorrect:  You should contact the Line Test Systems helpdesk through the DCoE.</v>
      </c>
    </row>
    <row r="90" spans="1:8" x14ac:dyDescent="0.25">
      <c r="B90" s="47"/>
      <c r="C90" s="72" t="s">
        <v>43</v>
      </c>
      <c r="D90" s="69" t="s">
        <v>731</v>
      </c>
      <c r="E90" s="192"/>
      <c r="F90" s="195"/>
      <c r="G90" s="195"/>
      <c r="H90" s="198"/>
    </row>
    <row r="91" spans="1:8" x14ac:dyDescent="0.25">
      <c r="B91" s="47"/>
      <c r="C91" s="72" t="s">
        <v>44</v>
      </c>
      <c r="D91" s="86" t="s">
        <v>730</v>
      </c>
      <c r="E91" s="192"/>
      <c r="F91" s="195"/>
      <c r="G91" s="195"/>
      <c r="H91" s="198"/>
    </row>
    <row r="92" spans="1:8" ht="15.75" thickBot="1" x14ac:dyDescent="0.3">
      <c r="B92" s="48"/>
      <c r="C92" s="75" t="s">
        <v>45</v>
      </c>
      <c r="D92" s="88" t="s">
        <v>732</v>
      </c>
      <c r="E92" s="193"/>
      <c r="F92" s="195"/>
      <c r="G92" s="196"/>
      <c r="H92" s="214"/>
    </row>
    <row r="93" spans="1:8" ht="27.95" customHeight="1" x14ac:dyDescent="0.25">
      <c r="A93" s="83" t="s">
        <v>354</v>
      </c>
      <c r="B93" s="46">
        <v>22</v>
      </c>
      <c r="C93" s="215" t="s">
        <v>733</v>
      </c>
      <c r="D93" s="216"/>
      <c r="E93" s="191"/>
      <c r="F93" s="194" t="str">
        <f t="shared" ref="F93" si="20">IF(E93="","",IF(G93=E93,1,0))</f>
        <v/>
      </c>
      <c r="G93" s="194" t="s">
        <v>43</v>
      </c>
      <c r="H93" s="197" t="str">
        <f>IF(F93=1,"Correct","Incorrect:  You should verify the Bar Pair on your task is either shown as spare or has another working circuit on it then update CSS records for both circuits with either Routing and records or CARO.")</f>
        <v>Incorrect:  You should verify the Bar Pair on your task is either shown as spare or has another working circuit on it then update CSS records for both circuits with either Routing and records or CARO.</v>
      </c>
    </row>
    <row r="94" spans="1:8" ht="30" x14ac:dyDescent="0.25">
      <c r="B94" s="47"/>
      <c r="C94" s="72" t="s">
        <v>43</v>
      </c>
      <c r="D94" s="95" t="s">
        <v>734</v>
      </c>
      <c r="E94" s="192"/>
      <c r="F94" s="195"/>
      <c r="G94" s="195"/>
      <c r="H94" s="198"/>
    </row>
    <row r="95" spans="1:8" x14ac:dyDescent="0.25">
      <c r="B95" s="47"/>
      <c r="C95" s="72" t="s">
        <v>44</v>
      </c>
      <c r="D95" s="86" t="s">
        <v>735</v>
      </c>
      <c r="E95" s="192"/>
      <c r="F95" s="195"/>
      <c r="G95" s="195"/>
      <c r="H95" s="198"/>
    </row>
    <row r="96" spans="1:8" ht="15.75" thickBot="1" x14ac:dyDescent="0.3">
      <c r="B96" s="48"/>
      <c r="C96" s="75" t="s">
        <v>45</v>
      </c>
      <c r="D96" s="88" t="s">
        <v>736</v>
      </c>
      <c r="E96" s="193"/>
      <c r="F96" s="196"/>
      <c r="G96" s="196"/>
      <c r="H96" s="214"/>
    </row>
    <row r="98" spans="3:5" ht="15.75" thickBot="1" x14ac:dyDescent="0.3"/>
    <row r="99" spans="3:5" ht="15" customHeight="1" x14ac:dyDescent="0.25">
      <c r="C99" s="205" t="s">
        <v>745</v>
      </c>
      <c r="D99" s="206"/>
      <c r="E99" s="207"/>
    </row>
    <row r="100" spans="3:5" x14ac:dyDescent="0.25">
      <c r="C100" s="208"/>
      <c r="D100" s="209"/>
      <c r="E100" s="210"/>
    </row>
    <row r="101" spans="3:5" ht="15.75" thickBot="1" x14ac:dyDescent="0.3">
      <c r="C101" s="211"/>
      <c r="D101" s="212"/>
      <c r="E101" s="213"/>
    </row>
  </sheetData>
  <sheetProtection sheet="1" objects="1" scenarios="1" selectLockedCells="1"/>
  <mergeCells count="94">
    <mergeCell ref="C24:D24"/>
    <mergeCell ref="C40:D40"/>
    <mergeCell ref="C93:D93"/>
    <mergeCell ref="C99:E101"/>
    <mergeCell ref="E89:E92"/>
    <mergeCell ref="E80:E83"/>
    <mergeCell ref="E72:E75"/>
    <mergeCell ref="E64:E67"/>
    <mergeCell ref="E56:E59"/>
    <mergeCell ref="E48:E51"/>
    <mergeCell ref="E40:E43"/>
    <mergeCell ref="E32:E35"/>
    <mergeCell ref="E24:E27"/>
    <mergeCell ref="F89:F92"/>
    <mergeCell ref="G89:G92"/>
    <mergeCell ref="H89:H92"/>
    <mergeCell ref="E93:E96"/>
    <mergeCell ref="F93:F96"/>
    <mergeCell ref="G93:G96"/>
    <mergeCell ref="H93:H96"/>
    <mergeCell ref="F80:F83"/>
    <mergeCell ref="G80:G83"/>
    <mergeCell ref="H80:H83"/>
    <mergeCell ref="E84:E88"/>
    <mergeCell ref="F84:F88"/>
    <mergeCell ref="G84:G88"/>
    <mergeCell ref="H84:H88"/>
    <mergeCell ref="F72:F75"/>
    <mergeCell ref="G72:G75"/>
    <mergeCell ref="H72:H75"/>
    <mergeCell ref="E76:E79"/>
    <mergeCell ref="F76:F79"/>
    <mergeCell ref="G76:G79"/>
    <mergeCell ref="H76:H79"/>
    <mergeCell ref="F64:F67"/>
    <mergeCell ref="G64:G67"/>
    <mergeCell ref="H64:H67"/>
    <mergeCell ref="E68:E71"/>
    <mergeCell ref="F68:F71"/>
    <mergeCell ref="G68:G71"/>
    <mergeCell ref="H68:H71"/>
    <mergeCell ref="F56:F59"/>
    <mergeCell ref="G56:G59"/>
    <mergeCell ref="H56:H59"/>
    <mergeCell ref="E60:E63"/>
    <mergeCell ref="F60:F63"/>
    <mergeCell ref="G60:G63"/>
    <mergeCell ref="H60:H63"/>
    <mergeCell ref="F48:F51"/>
    <mergeCell ref="G48:G51"/>
    <mergeCell ref="H48:H51"/>
    <mergeCell ref="C52:D52"/>
    <mergeCell ref="E52:E55"/>
    <mergeCell ref="F52:F55"/>
    <mergeCell ref="G52:G55"/>
    <mergeCell ref="H52:H55"/>
    <mergeCell ref="F40:F43"/>
    <mergeCell ref="G40:G43"/>
    <mergeCell ref="H40:H43"/>
    <mergeCell ref="E44:E47"/>
    <mergeCell ref="F44:F47"/>
    <mergeCell ref="G44:G47"/>
    <mergeCell ref="H44:H47"/>
    <mergeCell ref="F32:F35"/>
    <mergeCell ref="G32:G35"/>
    <mergeCell ref="H32:H35"/>
    <mergeCell ref="E36:E39"/>
    <mergeCell ref="F36:F39"/>
    <mergeCell ref="G36:G39"/>
    <mergeCell ref="H36:H39"/>
    <mergeCell ref="F24:F27"/>
    <mergeCell ref="G24:G27"/>
    <mergeCell ref="H24:H27"/>
    <mergeCell ref="E28:E31"/>
    <mergeCell ref="F28:F31"/>
    <mergeCell ref="G28:G31"/>
    <mergeCell ref="H28:H31"/>
    <mergeCell ref="E16:E19"/>
    <mergeCell ref="F16:F19"/>
    <mergeCell ref="G16:G19"/>
    <mergeCell ref="H16:H19"/>
    <mergeCell ref="E20:E23"/>
    <mergeCell ref="F20:F23"/>
    <mergeCell ref="G20:G23"/>
    <mergeCell ref="H20:H23"/>
    <mergeCell ref="E12:E15"/>
    <mergeCell ref="F12:F15"/>
    <mergeCell ref="G12:G15"/>
    <mergeCell ref="H12:H15"/>
    <mergeCell ref="B4:E4"/>
    <mergeCell ref="E8:E11"/>
    <mergeCell ref="F8:F11"/>
    <mergeCell ref="G8:G11"/>
    <mergeCell ref="H8:H11"/>
  </mergeCells>
  <conditionalFormatting sqref="H8:H96">
    <cfRule type="cellIs" dxfId="17" priority="1" operator="equal">
      <formula>"Correct"</formula>
    </cfRule>
  </conditionalFormatting>
  <dataValidations count="2">
    <dataValidation type="list" allowBlank="1" showInputMessage="1" showErrorMessage="1" sqref="E16 E20 E24 E28 E32 E36 E40 E44 E48 E52 E56 E60 E64 E68 E72 E76 E80 E8:E12 E89 E93">
      <formula1>"A,B,C"</formula1>
    </dataValidation>
    <dataValidation type="list" allowBlank="1" showInputMessage="1" showErrorMessage="1" sqref="E84:E88">
      <formula1>"A,B,C,D"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B2:P190"/>
  <sheetViews>
    <sheetView showGridLines="0" showRowColHeaders="0" zoomScale="90" zoomScaleNormal="90" workbookViewId="0">
      <selection activeCell="B14" sqref="B13:K17"/>
    </sheetView>
  </sheetViews>
  <sheetFormatPr defaultRowHeight="15" x14ac:dyDescent="0.25"/>
  <cols>
    <col min="1" max="2" width="9.140625" style="25"/>
    <col min="3" max="3" width="7.42578125" style="25" customWidth="1"/>
    <col min="4" max="4" width="6.28515625" style="25" customWidth="1"/>
    <col min="5" max="6" width="9.140625" style="25"/>
    <col min="7" max="7" width="11.42578125" style="25" customWidth="1"/>
    <col min="8" max="8" width="4.28515625" style="25" customWidth="1"/>
    <col min="9" max="9" width="9.140625" style="25"/>
    <col min="10" max="10" width="4.85546875" style="25" customWidth="1"/>
    <col min="11" max="13" width="9.140625" style="25"/>
    <col min="14" max="14" width="12" style="25" customWidth="1"/>
    <col min="15" max="15" width="6.7109375" style="25" customWidth="1"/>
    <col min="16" max="20" width="9.140625" style="25"/>
    <col min="21" max="21" width="10.7109375" style="25" customWidth="1"/>
    <col min="22" max="16384" width="9.140625" style="25"/>
  </cols>
  <sheetData>
    <row r="2" spans="2:16" x14ac:dyDescent="0.25">
      <c r="K2" s="26" t="s">
        <v>38</v>
      </c>
      <c r="L2" s="217" t="str">
        <f>IF(Title!C11="","",Title!C11)</f>
        <v/>
      </c>
      <c r="M2" s="218"/>
      <c r="N2" s="218"/>
      <c r="O2" s="218"/>
      <c r="P2" s="219"/>
    </row>
    <row r="3" spans="2:16" x14ac:dyDescent="0.25">
      <c r="K3" s="26" t="s">
        <v>11</v>
      </c>
      <c r="L3" s="217" t="str">
        <f>IF(Title!C12="","",Title!C12)</f>
        <v/>
      </c>
      <c r="M3" s="218"/>
      <c r="N3" s="218"/>
      <c r="O3" s="218"/>
      <c r="P3" s="219"/>
    </row>
    <row r="4" spans="2:16" x14ac:dyDescent="0.25">
      <c r="K4" s="26" t="s">
        <v>9</v>
      </c>
      <c r="L4" s="217" t="str">
        <f>IF(Title!C13="","",Title!C13)</f>
        <v/>
      </c>
      <c r="M4" s="218"/>
      <c r="N4" s="218"/>
      <c r="O4" s="218"/>
      <c r="P4" s="219"/>
    </row>
    <row r="5" spans="2:16" x14ac:dyDescent="0.25">
      <c r="K5" s="26" t="s">
        <v>10</v>
      </c>
      <c r="L5" s="217" t="str">
        <f>IF(Title!C14="","",Title!C14)</f>
        <v/>
      </c>
      <c r="M5" s="218"/>
      <c r="N5" s="218"/>
      <c r="O5" s="218"/>
      <c r="P5" s="219"/>
    </row>
    <row r="7" spans="2:16" x14ac:dyDescent="0.25">
      <c r="B7" s="241" t="s">
        <v>22</v>
      </c>
      <c r="C7" s="241"/>
      <c r="D7" s="241"/>
      <c r="E7" s="27" t="s">
        <v>23</v>
      </c>
      <c r="F7" s="241" t="s">
        <v>24</v>
      </c>
      <c r="G7" s="241"/>
      <c r="H7" s="28"/>
      <c r="I7" s="28"/>
    </row>
    <row r="8" spans="2:16" x14ac:dyDescent="0.25">
      <c r="B8" s="244" t="str">
        <f>Scoresheet!B7</f>
        <v xml:space="preserve">Module 1 - HHT       </v>
      </c>
      <c r="C8" s="244"/>
      <c r="D8" s="244"/>
      <c r="E8" s="29" t="str">
        <f>Scoresheet!D7</f>
        <v/>
      </c>
      <c r="F8" s="242" t="str">
        <f>Scoresheet!E7</f>
        <v/>
      </c>
      <c r="G8" s="243"/>
    </row>
    <row r="9" spans="2:16" x14ac:dyDescent="0.25">
      <c r="B9" s="244" t="str">
        <f>Scoresheet!B8</f>
        <v>Module 2 - Broadband</v>
      </c>
      <c r="C9" s="244"/>
      <c r="D9" s="244"/>
      <c r="E9" s="29" t="str">
        <f>Scoresheet!D8</f>
        <v/>
      </c>
      <c r="F9" s="242" t="str">
        <f>Scoresheet!E8</f>
        <v/>
      </c>
      <c r="G9" s="243"/>
    </row>
    <row r="10" spans="2:16" x14ac:dyDescent="0.25">
      <c r="B10" s="244" t="str">
        <f>Scoresheet!B9</f>
        <v>Module 3 - CAL / OMI</v>
      </c>
      <c r="C10" s="244"/>
      <c r="D10" s="244"/>
      <c r="E10" s="29" t="str">
        <f>Scoresheet!D9</f>
        <v/>
      </c>
      <c r="F10" s="242" t="str">
        <f>Scoresheet!E9</f>
        <v/>
      </c>
      <c r="G10" s="243"/>
    </row>
    <row r="11" spans="2:16" x14ac:dyDescent="0.25">
      <c r="B11" s="244" t="str">
        <f>Scoresheet!B10</f>
        <v>Module 4 - UG</v>
      </c>
      <c r="C11" s="244"/>
      <c r="D11" s="244"/>
      <c r="E11" s="29" t="str">
        <f>Scoresheet!D10</f>
        <v/>
      </c>
      <c r="F11" s="242" t="str">
        <f>Scoresheet!E10</f>
        <v/>
      </c>
      <c r="G11" s="243"/>
    </row>
    <row r="12" spans="2:16" x14ac:dyDescent="0.25">
      <c r="B12" s="244" t="str">
        <f>Scoresheet!B11</f>
        <v>Module 5 - Iphone</v>
      </c>
      <c r="C12" s="244"/>
      <c r="D12" s="244"/>
      <c r="E12" s="29" t="str">
        <f>Scoresheet!D11</f>
        <v/>
      </c>
      <c r="F12" s="242" t="str">
        <f>Scoresheet!E11</f>
        <v/>
      </c>
      <c r="G12" s="243"/>
    </row>
    <row r="13" spans="2:16" x14ac:dyDescent="0.25">
      <c r="B13" s="244" t="str">
        <f>Scoresheet!B12</f>
        <v>Module 6 - Frames</v>
      </c>
      <c r="C13" s="244"/>
      <c r="D13" s="244"/>
      <c r="E13" s="137" t="str">
        <f>Scoresheet!D12</f>
        <v/>
      </c>
      <c r="F13" s="242" t="str">
        <f>Scoresheet!E12</f>
        <v/>
      </c>
      <c r="G13" s="243"/>
    </row>
    <row r="15" spans="2:16" ht="15.75" thickBot="1" x14ac:dyDescent="0.3"/>
    <row r="16" spans="2:16" ht="18.75" customHeight="1" x14ac:dyDescent="0.25">
      <c r="B16" s="235" t="s">
        <v>784</v>
      </c>
      <c r="C16" s="236"/>
      <c r="D16" s="236"/>
      <c r="E16" s="236"/>
      <c r="F16" s="236"/>
      <c r="G16" s="236"/>
      <c r="H16" s="236"/>
      <c r="I16" s="236"/>
      <c r="J16" s="236"/>
      <c r="K16" s="237"/>
    </row>
    <row r="17" spans="2:11" ht="18.75" customHeight="1" x14ac:dyDescent="0.25">
      <c r="B17" s="238"/>
      <c r="C17" s="239"/>
      <c r="D17" s="239"/>
      <c r="E17" s="239"/>
      <c r="F17" s="239"/>
      <c r="G17" s="239"/>
      <c r="H17" s="239"/>
      <c r="I17" s="239"/>
      <c r="J17" s="239"/>
      <c r="K17" s="240"/>
    </row>
    <row r="18" spans="2:11" x14ac:dyDescent="0.25">
      <c r="B18" s="229" t="str">
        <f>Master!AM5</f>
        <v>Expert</v>
      </c>
      <c r="C18" s="230"/>
      <c r="D18" s="220" t="s">
        <v>25</v>
      </c>
      <c r="E18" s="221"/>
      <c r="F18" s="221"/>
      <c r="G18" s="221"/>
      <c r="H18" s="221"/>
      <c r="I18" s="221"/>
      <c r="J18" s="221"/>
      <c r="K18" s="222"/>
    </row>
    <row r="19" spans="2:11" x14ac:dyDescent="0.25">
      <c r="B19" s="231"/>
      <c r="C19" s="232"/>
      <c r="D19" s="223"/>
      <c r="E19" s="224"/>
      <c r="F19" s="224"/>
      <c r="G19" s="224"/>
      <c r="H19" s="224"/>
      <c r="I19" s="224"/>
      <c r="J19" s="224"/>
      <c r="K19" s="225"/>
    </row>
    <row r="20" spans="2:11" x14ac:dyDescent="0.25">
      <c r="B20" s="233"/>
      <c r="C20" s="234"/>
      <c r="D20" s="226"/>
      <c r="E20" s="227"/>
      <c r="F20" s="227"/>
      <c r="G20" s="227"/>
      <c r="H20" s="227"/>
      <c r="I20" s="227"/>
      <c r="J20" s="227"/>
      <c r="K20" s="228"/>
    </row>
    <row r="21" spans="2:11" x14ac:dyDescent="0.25">
      <c r="B21" s="229" t="str">
        <f>Master!AM4</f>
        <v>Advanced</v>
      </c>
      <c r="C21" s="230"/>
      <c r="D21" s="220" t="s">
        <v>26</v>
      </c>
      <c r="E21" s="221"/>
      <c r="F21" s="221"/>
      <c r="G21" s="221"/>
      <c r="H21" s="221"/>
      <c r="I21" s="221"/>
      <c r="J21" s="221"/>
      <c r="K21" s="222"/>
    </row>
    <row r="22" spans="2:11" x14ac:dyDescent="0.25">
      <c r="B22" s="231"/>
      <c r="C22" s="232"/>
      <c r="D22" s="223"/>
      <c r="E22" s="224"/>
      <c r="F22" s="224"/>
      <c r="G22" s="224"/>
      <c r="H22" s="224"/>
      <c r="I22" s="224"/>
      <c r="J22" s="224"/>
      <c r="K22" s="225"/>
    </row>
    <row r="23" spans="2:11" x14ac:dyDescent="0.25">
      <c r="B23" s="233"/>
      <c r="C23" s="234"/>
      <c r="D23" s="226"/>
      <c r="E23" s="227"/>
      <c r="F23" s="227"/>
      <c r="G23" s="227"/>
      <c r="H23" s="227"/>
      <c r="I23" s="227"/>
      <c r="J23" s="227"/>
      <c r="K23" s="228"/>
    </row>
    <row r="24" spans="2:11" x14ac:dyDescent="0.25">
      <c r="B24" s="229" t="str">
        <f>Master!AM3</f>
        <v>Competent</v>
      </c>
      <c r="C24" s="230"/>
      <c r="D24" s="220" t="s">
        <v>27</v>
      </c>
      <c r="E24" s="221"/>
      <c r="F24" s="221"/>
      <c r="G24" s="221"/>
      <c r="H24" s="221"/>
      <c r="I24" s="221"/>
      <c r="J24" s="221"/>
      <c r="K24" s="222"/>
    </row>
    <row r="25" spans="2:11" x14ac:dyDescent="0.25">
      <c r="B25" s="231"/>
      <c r="C25" s="232"/>
      <c r="D25" s="223"/>
      <c r="E25" s="224"/>
      <c r="F25" s="224"/>
      <c r="G25" s="224"/>
      <c r="H25" s="224"/>
      <c r="I25" s="224"/>
      <c r="J25" s="224"/>
      <c r="K25" s="225"/>
    </row>
    <row r="26" spans="2:11" x14ac:dyDescent="0.25">
      <c r="B26" s="233"/>
      <c r="C26" s="234"/>
      <c r="D26" s="226"/>
      <c r="E26" s="227"/>
      <c r="F26" s="227"/>
      <c r="G26" s="227"/>
      <c r="H26" s="227"/>
      <c r="I26" s="227"/>
      <c r="J26" s="227"/>
      <c r="K26" s="228"/>
    </row>
    <row r="27" spans="2:11" x14ac:dyDescent="0.25">
      <c r="B27" s="229" t="str">
        <f>Master!AM2</f>
        <v>Intermediate</v>
      </c>
      <c r="C27" s="230"/>
      <c r="D27" s="220" t="s">
        <v>28</v>
      </c>
      <c r="E27" s="221"/>
      <c r="F27" s="221"/>
      <c r="G27" s="221"/>
      <c r="H27" s="221"/>
      <c r="I27" s="221"/>
      <c r="J27" s="221"/>
      <c r="K27" s="222"/>
    </row>
    <row r="28" spans="2:11" x14ac:dyDescent="0.25">
      <c r="B28" s="233"/>
      <c r="C28" s="234"/>
      <c r="D28" s="226"/>
      <c r="E28" s="227"/>
      <c r="F28" s="227"/>
      <c r="G28" s="227"/>
      <c r="H28" s="227"/>
      <c r="I28" s="227"/>
      <c r="J28" s="227"/>
      <c r="K28" s="228"/>
    </row>
    <row r="29" spans="2:11" x14ac:dyDescent="0.25">
      <c r="B29" s="229" t="str">
        <f>Master!AM1</f>
        <v>Novice</v>
      </c>
      <c r="C29" s="230"/>
      <c r="D29" s="220" t="s">
        <v>142</v>
      </c>
      <c r="E29" s="221"/>
      <c r="F29" s="221"/>
      <c r="G29" s="221"/>
      <c r="H29" s="221"/>
      <c r="I29" s="221"/>
      <c r="J29" s="221"/>
      <c r="K29" s="222"/>
    </row>
    <row r="30" spans="2:11" ht="15.75" thickBot="1" x14ac:dyDescent="0.3">
      <c r="B30" s="248"/>
      <c r="C30" s="249"/>
      <c r="D30" s="245"/>
      <c r="E30" s="246"/>
      <c r="F30" s="246"/>
      <c r="G30" s="246"/>
      <c r="H30" s="246"/>
      <c r="I30" s="246"/>
      <c r="J30" s="246"/>
      <c r="K30" s="247"/>
    </row>
    <row r="52" spans="2:9" ht="61.5" x14ac:dyDescent="0.9">
      <c r="B52" s="144" t="str">
        <f>"HHT - "&amp;F8</f>
        <v xml:space="preserve">HHT - </v>
      </c>
    </row>
    <row r="53" spans="2:9" ht="31.5" x14ac:dyDescent="0.5">
      <c r="B53" s="146" t="str">
        <f>IF('Engineer Self Assessment'!B18="Yes","","You have Indicated that you do not have an HHT so you can ignore this score")</f>
        <v>You have Indicated that you do not have an HHT so you can ignore this score</v>
      </c>
    </row>
    <row r="58" spans="2:9" ht="46.5" x14ac:dyDescent="0.7">
      <c r="I58" s="143" t="str">
        <f>"You Scored "&amp;Scoresheet!D7&amp;" out off "&amp;Scoresheet!U7</f>
        <v>You Scored  out off 30</v>
      </c>
    </row>
    <row r="72" spans="2:9" ht="61.5" x14ac:dyDescent="0.9">
      <c r="B72" s="144" t="str">
        <f>"Broadband - "&amp;F9</f>
        <v xml:space="preserve">Broadband - </v>
      </c>
    </row>
    <row r="73" spans="2:9" ht="31.5" x14ac:dyDescent="0.5">
      <c r="B73" s="146" t="str">
        <f>IF('Engineer Self Assessment'!B10="Skilled","",IF('Engineer Self Assessment'!B12="Skilled","","You have Indicated that you are not Broadband or FTTC Skilled so you can ignore this score"))</f>
        <v>You have Indicated that you are not Broadband or FTTC Skilled so you can ignore this score</v>
      </c>
    </row>
    <row r="78" spans="2:9" ht="46.5" x14ac:dyDescent="0.7">
      <c r="I78" s="143" t="str">
        <f>"You Scored "&amp;Scoresheet!D8&amp;" out off "&amp;Scoresheet!U8</f>
        <v>You Scored  out off 40</v>
      </c>
    </row>
    <row r="83" spans="2:9" ht="15.75" customHeight="1" x14ac:dyDescent="0.25"/>
    <row r="91" spans="2:9" ht="61.5" x14ac:dyDescent="0.9">
      <c r="B91" s="144" t="str">
        <f>"CAL / OMI - "&amp;F10</f>
        <v xml:space="preserve">CAL / OMI - </v>
      </c>
    </row>
    <row r="92" spans="2:9" ht="31.5" x14ac:dyDescent="0.5">
      <c r="B92" s="146" t="str">
        <f>IF('Engineer Self Assessment'!B6="Skilled","","You have Indicated that you are not CAL/OMI Skilled so you can ignore this score")</f>
        <v>You have Indicated that you are not CAL/OMI Skilled so you can ignore this score</v>
      </c>
    </row>
    <row r="96" spans="2:9" ht="46.5" x14ac:dyDescent="0.7">
      <c r="I96" s="143" t="str">
        <f>"You Scored "&amp;Scoresheet!D9&amp;" out off "&amp;Scoresheet!U9</f>
        <v>You Scored  out off 40</v>
      </c>
    </row>
    <row r="98" spans="9:9" ht="18.75" x14ac:dyDescent="0.3">
      <c r="I98" s="145" t="s">
        <v>785</v>
      </c>
    </row>
    <row r="99" spans="9:9" ht="18.75" x14ac:dyDescent="0.3">
      <c r="I99" s="145"/>
    </row>
    <row r="100" spans="9:9" ht="18.75" x14ac:dyDescent="0.3">
      <c r="I100" s="145" t="str">
        <f>"Safety - "&amp;Scoresheet!D16&amp;" out of "&amp;Scoresheet!E16</f>
        <v>Safety -  out of 5</v>
      </c>
    </row>
    <row r="101" spans="9:9" ht="18.75" x14ac:dyDescent="0.3">
      <c r="I101" s="145" t="str">
        <f>"Process - "&amp;Scoresheet!D17&amp;" out of "&amp;Scoresheet!E17</f>
        <v>Process -  out of 14</v>
      </c>
    </row>
    <row r="102" spans="9:9" ht="18.75" x14ac:dyDescent="0.3">
      <c r="I102" s="145" t="str">
        <f>"Quality - "&amp;Scoresheet!D18&amp;" out of "&amp;Scoresheet!E18</f>
        <v>Quality -  out of 8</v>
      </c>
    </row>
    <row r="103" spans="9:9" ht="18.75" x14ac:dyDescent="0.3">
      <c r="I103" s="145" t="str">
        <f>"TRC - "&amp;Scoresheet!D19&amp;" out of "&amp;Scoresheet!E19</f>
        <v>TRC -  out of 13</v>
      </c>
    </row>
    <row r="123" spans="2:2" ht="61.5" x14ac:dyDescent="0.9">
      <c r="B123" s="144" t="str">
        <f>"UG - "&amp;F11</f>
        <v xml:space="preserve">UG - </v>
      </c>
    </row>
    <row r="124" spans="2:2" ht="31.5" x14ac:dyDescent="0.5">
      <c r="B124" s="146" t="str">
        <f>IF('Engineer Self Assessment'!B8="Skilled","","You have Indicated that you are not UG Skilled so you can ignore this score")</f>
        <v>You have Indicated that you are not UG Skilled so you can ignore this score</v>
      </c>
    </row>
    <row r="129" spans="9:9" ht="46.5" x14ac:dyDescent="0.7">
      <c r="I129" s="143" t="str">
        <f>"You Scored "&amp;Scoresheet!D10&amp;" out off "&amp;Scoresheet!U10</f>
        <v>You Scored  out off 34</v>
      </c>
    </row>
    <row r="131" spans="9:9" ht="18.75" x14ac:dyDescent="0.3">
      <c r="I131" s="145" t="s">
        <v>786</v>
      </c>
    </row>
    <row r="132" spans="9:9" ht="18.75" x14ac:dyDescent="0.3">
      <c r="I132" s="145"/>
    </row>
    <row r="133" spans="9:9" ht="18.75" x14ac:dyDescent="0.3">
      <c r="I133" s="145" t="str">
        <f>"Safety - "&amp;Scoresheet!D21&amp;" out of "&amp;Scoresheet!E21</f>
        <v>Safety -  out of 5</v>
      </c>
    </row>
    <row r="134" spans="9:9" ht="18.75" x14ac:dyDescent="0.3">
      <c r="I134" s="145" t="str">
        <f>"Process - "&amp;Scoresheet!D23&amp;" out of "&amp;Scoresheet!E23</f>
        <v>Process -  out of 14</v>
      </c>
    </row>
    <row r="135" spans="9:9" ht="18.75" x14ac:dyDescent="0.3">
      <c r="I135" s="145" t="str">
        <f>"Quality - "&amp;Scoresheet!D22&amp;" out of "&amp;Scoresheet!E22</f>
        <v>Quality -  out of 15</v>
      </c>
    </row>
    <row r="158" spans="2:2" ht="61.5" x14ac:dyDescent="0.9">
      <c r="B158" s="144" t="str">
        <f>"Iphone - "&amp;F12</f>
        <v xml:space="preserve">Iphone - </v>
      </c>
    </row>
    <row r="159" spans="2:2" ht="31.5" x14ac:dyDescent="0.5">
      <c r="B159" s="146" t="str">
        <f>IF('Engineer Self Assessment'!B14="Skilled","","You have Indicated that you do not have an IPhone so you can ignore this score")</f>
        <v>You have Indicated that you do not have an IPhone so you can ignore this score</v>
      </c>
    </row>
    <row r="163" spans="9:9" ht="46.5" x14ac:dyDescent="0.7">
      <c r="I163" s="143" t="str">
        <f>"You Scored "&amp;Scoresheet!D11&amp;" out off "&amp;Scoresheet!U11</f>
        <v>You Scored  out off 25</v>
      </c>
    </row>
    <row r="178" spans="2:9" ht="61.5" x14ac:dyDescent="0.9">
      <c r="B178" s="144" t="str">
        <f>"Frames - "&amp;F13</f>
        <v xml:space="preserve">Frames - </v>
      </c>
    </row>
    <row r="179" spans="2:9" ht="31.5" x14ac:dyDescent="0.5">
      <c r="B179" s="146" t="str">
        <f>IF('Engineer Self Assessment'!B16="Skilled","","You have Indicated that you are not Frames Skilled so you can ignore this score")</f>
        <v>You have Indicated that you are not Frames Skilled so you can ignore this score</v>
      </c>
    </row>
    <row r="184" spans="2:9" ht="46.5" x14ac:dyDescent="0.7">
      <c r="I184" s="143" t="str">
        <f>"You Scored "&amp;Scoresheet!D12&amp;" out off "&amp;Scoresheet!U12</f>
        <v>You Scored  out off 22</v>
      </c>
    </row>
    <row r="186" spans="2:9" ht="18.75" x14ac:dyDescent="0.3">
      <c r="I186" s="145" t="s">
        <v>786</v>
      </c>
    </row>
    <row r="187" spans="2:9" ht="18.75" x14ac:dyDescent="0.3">
      <c r="I187" s="145"/>
    </row>
    <row r="188" spans="2:9" ht="18.75" x14ac:dyDescent="0.3">
      <c r="I188" s="145" t="str">
        <f>"Safety - "&amp;Scoresheet!D25&amp;" out of "&amp;Scoresheet!E25</f>
        <v>Safety -  out of 5</v>
      </c>
    </row>
    <row r="189" spans="2:9" ht="18.75" x14ac:dyDescent="0.3">
      <c r="I189" s="145" t="str">
        <f>"Process - "&amp;Scoresheet!D27&amp;" out of "&amp;Scoresheet!E27</f>
        <v>Process -  out of 9</v>
      </c>
    </row>
    <row r="190" spans="2:9" ht="18.75" x14ac:dyDescent="0.3">
      <c r="I190" s="145" t="str">
        <f>"Quality - "&amp;Scoresheet!D26&amp;" out of "&amp;Scoresheet!E26</f>
        <v>Quality -  out of 8</v>
      </c>
    </row>
  </sheetData>
  <sheetProtection sheet="1" objects="1" scenarios="1" selectLockedCells="1" selectUnlockedCells="1"/>
  <mergeCells count="29">
    <mergeCell ref="B11:D11"/>
    <mergeCell ref="D21:K23"/>
    <mergeCell ref="B21:C23"/>
    <mergeCell ref="B12:D12"/>
    <mergeCell ref="D29:K30"/>
    <mergeCell ref="B29:C30"/>
    <mergeCell ref="D24:K26"/>
    <mergeCell ref="B24:C26"/>
    <mergeCell ref="D27:K28"/>
    <mergeCell ref="B27:C28"/>
    <mergeCell ref="F12:G12"/>
    <mergeCell ref="B13:D13"/>
    <mergeCell ref="F13:G13"/>
    <mergeCell ref="L2:P2"/>
    <mergeCell ref="D18:K20"/>
    <mergeCell ref="B18:C20"/>
    <mergeCell ref="B16:K17"/>
    <mergeCell ref="L3:P3"/>
    <mergeCell ref="L4:P4"/>
    <mergeCell ref="L5:P5"/>
    <mergeCell ref="F7:G7"/>
    <mergeCell ref="F8:G8"/>
    <mergeCell ref="F9:G9"/>
    <mergeCell ref="F10:G10"/>
    <mergeCell ref="F11:G11"/>
    <mergeCell ref="B7:D7"/>
    <mergeCell ref="B8:D8"/>
    <mergeCell ref="B9:D9"/>
    <mergeCell ref="B10:D10"/>
  </mergeCells>
  <pageMargins left="0.7" right="0.7" top="0.75" bottom="0.75" header="0.3" footer="0.3"/>
  <pageSetup paperSize="9"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BP58"/>
  <sheetViews>
    <sheetView topLeftCell="A7" zoomScale="90" zoomScaleNormal="90" workbookViewId="0">
      <selection activeCell="D10" sqref="D10"/>
    </sheetView>
  </sheetViews>
  <sheetFormatPr defaultRowHeight="15" x14ac:dyDescent="0.25"/>
  <cols>
    <col min="1" max="1" width="5.7109375" style="1" customWidth="1"/>
    <col min="2" max="2" width="2.140625" style="1" customWidth="1"/>
    <col min="3" max="8" width="23.140625" style="1" customWidth="1"/>
    <col min="9" max="9" width="9.140625" style="1"/>
    <col min="10" max="11" width="9.140625" style="2"/>
    <col min="12" max="12" width="12.5703125" style="2" customWidth="1"/>
    <col min="13" max="38" width="9.140625" style="2"/>
    <col min="39" max="39" width="15.28515625" style="2" customWidth="1"/>
    <col min="40" max="68" width="9.140625" style="2"/>
    <col min="69" max="16384" width="9.140625" style="1"/>
  </cols>
  <sheetData>
    <row r="1" spans="1:54" x14ac:dyDescent="0.25">
      <c r="AI1" s="2" t="s">
        <v>16</v>
      </c>
      <c r="AJ1" s="2">
        <v>4</v>
      </c>
      <c r="AM1" s="2" t="s">
        <v>29</v>
      </c>
      <c r="AN1" s="2">
        <v>0</v>
      </c>
      <c r="AT1" s="2" t="str">
        <f>L9</f>
        <v>Skills</v>
      </c>
    </row>
    <row r="2" spans="1:54" x14ac:dyDescent="0.25">
      <c r="AI2" s="2" t="s">
        <v>17</v>
      </c>
      <c r="AJ2" s="2">
        <v>0</v>
      </c>
      <c r="AM2" s="2" t="s">
        <v>32</v>
      </c>
      <c r="AN2" s="2">
        <v>1</v>
      </c>
      <c r="AT2" s="2" t="str">
        <f>R9</f>
        <v>Technical Knowledge</v>
      </c>
    </row>
    <row r="3" spans="1:54" ht="60.75" customHeight="1" thickBot="1" x14ac:dyDescent="0.3">
      <c r="AM3" s="2" t="s">
        <v>37</v>
      </c>
      <c r="AN3" s="2">
        <v>2</v>
      </c>
      <c r="AT3" s="2">
        <f>X9</f>
        <v>0</v>
      </c>
    </row>
    <row r="4" spans="1:54" ht="47.25" customHeight="1" thickBot="1" x14ac:dyDescent="0.3">
      <c r="C4" s="250" t="s">
        <v>0</v>
      </c>
      <c r="D4" s="251"/>
      <c r="E4" s="251"/>
      <c r="F4" s="251"/>
      <c r="G4" s="251"/>
      <c r="H4" s="252"/>
      <c r="AM4" s="2" t="s">
        <v>30</v>
      </c>
      <c r="AN4" s="2">
        <v>3</v>
      </c>
    </row>
    <row r="5" spans="1:54" ht="47.25" customHeight="1" x14ac:dyDescent="0.25">
      <c r="C5" s="4" t="s">
        <v>1</v>
      </c>
      <c r="D5" s="4" t="s">
        <v>347</v>
      </c>
      <c r="E5" s="4" t="s">
        <v>2</v>
      </c>
      <c r="F5" s="4" t="s">
        <v>3</v>
      </c>
      <c r="G5" s="4" t="s">
        <v>144</v>
      </c>
      <c r="H5" s="4" t="s">
        <v>7</v>
      </c>
      <c r="I5" s="3"/>
      <c r="K5" s="11"/>
      <c r="AM5" s="2" t="s">
        <v>31</v>
      </c>
      <c r="AN5" s="2">
        <v>4</v>
      </c>
    </row>
    <row r="6" spans="1:54" ht="47.25" customHeight="1" thickBot="1" x14ac:dyDescent="0.3">
      <c r="C6" s="19"/>
      <c r="D6" s="19"/>
      <c r="E6" s="19"/>
      <c r="F6" s="19"/>
      <c r="G6" s="19"/>
      <c r="H6" s="19"/>
      <c r="I6" s="3"/>
      <c r="K6" s="11"/>
    </row>
    <row r="7" spans="1:54" ht="47.25" customHeight="1" thickBot="1" x14ac:dyDescent="0.3">
      <c r="D7" s="3"/>
      <c r="E7" s="3"/>
      <c r="F7" s="3"/>
      <c r="G7" s="3"/>
      <c r="H7" s="3"/>
      <c r="K7" s="11"/>
    </row>
    <row r="8" spans="1:54" ht="47.25" customHeight="1" thickBot="1" x14ac:dyDescent="0.3">
      <c r="A8" s="11"/>
      <c r="B8" s="11"/>
      <c r="C8" s="253" t="s">
        <v>8</v>
      </c>
      <c r="D8" s="254"/>
      <c r="E8" s="254"/>
      <c r="F8" s="254"/>
      <c r="G8" s="254"/>
      <c r="H8" s="255"/>
      <c r="I8" s="11"/>
      <c r="K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row>
    <row r="9" spans="1:54" ht="47.25" customHeight="1" thickBot="1" x14ac:dyDescent="0.3">
      <c r="A9" s="11"/>
      <c r="B9" s="11"/>
      <c r="C9" s="6" t="s">
        <v>5</v>
      </c>
      <c r="D9" s="6" t="s">
        <v>742</v>
      </c>
      <c r="E9" s="6" t="s">
        <v>674</v>
      </c>
      <c r="F9" s="6" t="s">
        <v>657</v>
      </c>
      <c r="G9" s="6" t="s">
        <v>143</v>
      </c>
      <c r="H9" s="7" t="s">
        <v>670</v>
      </c>
      <c r="I9" s="11"/>
      <c r="K9" s="11"/>
      <c r="L9" s="185" t="str">
        <f>C4</f>
        <v>Skills</v>
      </c>
      <c r="M9" s="186"/>
      <c r="N9" s="186"/>
      <c r="O9" s="186"/>
      <c r="P9" s="186"/>
      <c r="Q9" s="190"/>
      <c r="R9" s="185" t="str">
        <f>C8</f>
        <v>Technical Knowledge</v>
      </c>
      <c r="S9" s="186"/>
      <c r="T9" s="186"/>
      <c r="U9" s="186"/>
      <c r="V9" s="186"/>
      <c r="W9" s="190"/>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11"/>
    </row>
    <row r="10" spans="1:54" ht="47.25" customHeight="1" thickBot="1" x14ac:dyDescent="0.3">
      <c r="A10" s="11"/>
      <c r="B10" s="11"/>
      <c r="C10" s="5" t="str">
        <f>Scoresheet!E7</f>
        <v/>
      </c>
      <c r="D10" s="5" t="str">
        <f>Scoresheet!E8</f>
        <v/>
      </c>
      <c r="E10" s="5" t="str">
        <f>Scoresheet!E9</f>
        <v/>
      </c>
      <c r="F10" s="5" t="str">
        <f>Scoresheet!E10</f>
        <v/>
      </c>
      <c r="G10" s="5" t="str">
        <f>Scoresheet!E11</f>
        <v/>
      </c>
      <c r="H10" s="5" t="str">
        <f>Scoresheet!E12</f>
        <v/>
      </c>
      <c r="I10" s="11"/>
      <c r="K10" s="11"/>
      <c r="L10" s="16" t="str">
        <f>C5</f>
        <v>CAL / OMI</v>
      </c>
      <c r="M10" s="17" t="str">
        <f>D5</f>
        <v>UG or First Look</v>
      </c>
      <c r="N10" s="17" t="str">
        <f>E5</f>
        <v>BB</v>
      </c>
      <c r="O10" s="17" t="str">
        <f>F5</f>
        <v>FTTC</v>
      </c>
      <c r="P10" s="17" t="str">
        <f>G5</f>
        <v>IPhone/Apps</v>
      </c>
      <c r="Q10" s="17" t="str">
        <f>H5</f>
        <v>Frames H1/H4</v>
      </c>
      <c r="R10" s="13" t="str">
        <f>C9</f>
        <v>HHT</v>
      </c>
      <c r="S10" s="14" t="str">
        <f>D9</f>
        <v>Broadband/Fibre</v>
      </c>
      <c r="T10" s="14" t="str">
        <f>E9</f>
        <v>CAL OMI</v>
      </c>
      <c r="U10" s="14" t="str">
        <f>F9</f>
        <v>UG</v>
      </c>
      <c r="V10" s="14" t="str">
        <f>G9</f>
        <v>IPhone</v>
      </c>
      <c r="W10" s="15" t="str">
        <f>H9</f>
        <v>Frames</v>
      </c>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row>
    <row r="11" spans="1:54" ht="21" customHeight="1" thickBot="1" x14ac:dyDescent="0.3">
      <c r="A11" s="11"/>
      <c r="B11" s="11"/>
      <c r="C11" s="11"/>
      <c r="D11" s="11"/>
      <c r="E11" s="11"/>
      <c r="F11" s="11"/>
      <c r="G11" s="11"/>
      <c r="H11" s="11"/>
      <c r="I11" s="11"/>
      <c r="K11" s="11"/>
      <c r="L11" s="13" t="e">
        <f t="shared" ref="L11:Q11" si="0">VLOOKUP(C6,$AI1:$AJ2,2,FALSE)</f>
        <v>#N/A</v>
      </c>
      <c r="M11" s="14" t="e">
        <f t="shared" si="0"/>
        <v>#N/A</v>
      </c>
      <c r="N11" s="14" t="e">
        <f t="shared" si="0"/>
        <v>#N/A</v>
      </c>
      <c r="O11" s="14" t="e">
        <f t="shared" si="0"/>
        <v>#N/A</v>
      </c>
      <c r="P11" s="14" t="e">
        <f t="shared" si="0"/>
        <v>#N/A</v>
      </c>
      <c r="Q11" s="15" t="e">
        <f t="shared" si="0"/>
        <v>#N/A</v>
      </c>
      <c r="R11" s="16" t="e">
        <f t="shared" ref="R11:W11" si="1">VLOOKUP(C10,$AM1:$AN5,2,FALSE)</f>
        <v>#N/A</v>
      </c>
      <c r="S11" s="17" t="e">
        <f t="shared" si="1"/>
        <v>#N/A</v>
      </c>
      <c r="T11" s="17" t="e">
        <f t="shared" si="1"/>
        <v>#N/A</v>
      </c>
      <c r="U11" s="17" t="e">
        <f t="shared" si="1"/>
        <v>#N/A</v>
      </c>
      <c r="V11" s="17" t="e">
        <f t="shared" si="1"/>
        <v>#N/A</v>
      </c>
      <c r="W11" s="18" t="e">
        <f t="shared" si="1"/>
        <v>#N/A</v>
      </c>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row>
    <row r="12" spans="1:54" ht="21" customHeight="1" thickBot="1" x14ac:dyDescent="0.3">
      <c r="A12" s="11"/>
      <c r="B12" s="11"/>
      <c r="C12" s="11"/>
      <c r="D12" s="11"/>
      <c r="E12" s="11"/>
      <c r="F12" s="11"/>
      <c r="G12" s="11"/>
      <c r="H12" s="11"/>
      <c r="I12" s="11"/>
      <c r="K12" s="11"/>
      <c r="R12" s="8" t="e">
        <f>R11</f>
        <v>#N/A</v>
      </c>
      <c r="S12" s="9" t="e">
        <f t="shared" ref="S12:W12" si="2">S11</f>
        <v>#N/A</v>
      </c>
      <c r="T12" s="9" t="e">
        <f t="shared" si="2"/>
        <v>#N/A</v>
      </c>
      <c r="U12" s="9" t="e">
        <f t="shared" si="2"/>
        <v>#N/A</v>
      </c>
      <c r="V12" s="9" t="e">
        <f t="shared" si="2"/>
        <v>#N/A</v>
      </c>
      <c r="W12" s="10" t="e">
        <f t="shared" si="2"/>
        <v>#N/A</v>
      </c>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row>
    <row r="13" spans="1:54" ht="21" customHeight="1" x14ac:dyDescent="0.25">
      <c r="A13" s="11"/>
      <c r="B13" s="11"/>
      <c r="C13" s="11"/>
      <c r="D13" s="11"/>
      <c r="E13" s="11"/>
      <c r="F13" s="11"/>
      <c r="G13" s="11"/>
      <c r="H13" s="11"/>
      <c r="I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row>
    <row r="14" spans="1:54" ht="27" customHeight="1" x14ac:dyDescent="0.25">
      <c r="A14" s="11"/>
      <c r="B14" s="11"/>
      <c r="C14" s="11"/>
      <c r="D14" s="11"/>
      <c r="E14" s="11"/>
      <c r="F14" s="11"/>
      <c r="G14" s="11"/>
      <c r="H14" s="11"/>
      <c r="I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row>
    <row r="15" spans="1:54" ht="21" customHeight="1" x14ac:dyDescent="0.25">
      <c r="A15" s="11"/>
      <c r="B15" s="11"/>
      <c r="C15" s="11" t="e">
        <f>IF('Engineer Self Assessment'!#REF!="","",'Engineer Self Assessment'!#REF!)</f>
        <v>#REF!</v>
      </c>
      <c r="D15" s="11"/>
      <c r="E15" s="11"/>
      <c r="F15" s="11"/>
      <c r="G15" s="11"/>
      <c r="H15" s="11"/>
      <c r="I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row>
    <row r="16" spans="1:54" ht="21" customHeight="1" x14ac:dyDescent="0.25">
      <c r="A16" s="11"/>
      <c r="B16" s="11"/>
      <c r="C16" s="11"/>
      <c r="D16" s="11"/>
      <c r="E16" s="11"/>
      <c r="F16" s="11"/>
      <c r="G16" s="11"/>
      <c r="H16" s="11"/>
      <c r="I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row>
    <row r="17" spans="1:54" ht="21" customHeight="1" x14ac:dyDescent="0.25">
      <c r="A17" s="11"/>
      <c r="B17" s="11"/>
      <c r="C17" s="11"/>
      <c r="D17" s="11"/>
      <c r="E17" s="11"/>
      <c r="F17" s="11"/>
      <c r="G17" s="11"/>
      <c r="H17" s="11"/>
      <c r="I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row>
    <row r="18" spans="1:54" ht="21" customHeight="1" x14ac:dyDescent="0.25">
      <c r="A18" s="11"/>
      <c r="B18" s="11"/>
      <c r="C18" s="11"/>
      <c r="D18" s="11"/>
      <c r="E18" s="11"/>
      <c r="F18" s="11"/>
      <c r="G18" s="11"/>
      <c r="H18" s="11"/>
      <c r="I18" s="11"/>
      <c r="L18" s="2">
        <v>0.75</v>
      </c>
      <c r="M18" s="2">
        <v>0.75</v>
      </c>
      <c r="N18" s="2">
        <v>0.75</v>
      </c>
      <c r="O18" s="2">
        <v>0.75</v>
      </c>
      <c r="P18" s="2">
        <v>0.75</v>
      </c>
      <c r="Q18" s="2">
        <v>0.75</v>
      </c>
      <c r="R18" s="2">
        <v>0.75</v>
      </c>
      <c r="S18" s="2">
        <v>0.75</v>
      </c>
      <c r="T18" s="2">
        <v>0.75</v>
      </c>
      <c r="U18" s="2">
        <v>0.75</v>
      </c>
      <c r="V18" s="2">
        <v>0.75</v>
      </c>
      <c r="W18" s="2">
        <v>0.75</v>
      </c>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row>
    <row r="19" spans="1:54" ht="21" customHeight="1" thickBot="1" x14ac:dyDescent="0.3">
      <c r="A19" s="11"/>
      <c r="B19" s="11"/>
      <c r="C19" s="11"/>
      <c r="D19" s="11"/>
      <c r="E19" s="11"/>
      <c r="F19" s="11"/>
      <c r="G19" s="11"/>
      <c r="H19" s="11"/>
      <c r="I19" s="11"/>
      <c r="L19" s="2">
        <v>3.85</v>
      </c>
      <c r="M19" s="2">
        <v>3.85</v>
      </c>
      <c r="N19" s="2">
        <v>3.85</v>
      </c>
      <c r="O19" s="2">
        <v>3.85</v>
      </c>
      <c r="P19" s="2">
        <v>3.85</v>
      </c>
      <c r="Q19" s="2">
        <v>3.85</v>
      </c>
      <c r="R19" s="2">
        <v>3.85</v>
      </c>
      <c r="S19" s="2">
        <v>3.85</v>
      </c>
      <c r="T19" s="2">
        <v>3.85</v>
      </c>
      <c r="U19" s="2">
        <v>3.85</v>
      </c>
      <c r="V19" s="2">
        <v>3.85</v>
      </c>
      <c r="W19" s="2">
        <v>3.85</v>
      </c>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row>
    <row r="20" spans="1:54" ht="21" customHeight="1" thickBot="1" x14ac:dyDescent="0.3">
      <c r="A20" s="11"/>
      <c r="B20" s="11"/>
      <c r="C20" s="11"/>
      <c r="D20" s="11"/>
      <c r="E20" s="11"/>
      <c r="F20" s="11"/>
      <c r="G20" s="11"/>
      <c r="H20" s="11"/>
      <c r="I20" s="11"/>
      <c r="L20" s="13" t="e">
        <f>'Engineer Self Assessment'!AZ23</f>
        <v>#N/A</v>
      </c>
      <c r="M20" s="14" t="e">
        <f>'Engineer Self Assessment'!BA23</f>
        <v>#N/A</v>
      </c>
      <c r="N20" s="14" t="e">
        <f>'Engineer Self Assessment'!BB23</f>
        <v>#N/A</v>
      </c>
      <c r="O20" s="14" t="e">
        <f>'Engineer Self Assessment'!BC23</f>
        <v>#N/A</v>
      </c>
      <c r="P20" s="14" t="e">
        <f>'Engineer Self Assessment'!BD23</f>
        <v>#N/A</v>
      </c>
      <c r="Q20" s="15" t="e">
        <f>'Engineer Self Assessment'!BE23</f>
        <v>#N/A</v>
      </c>
      <c r="R20" s="13" t="e">
        <f>'Engineer Self Assessment'!BF23</f>
        <v>#N/A</v>
      </c>
      <c r="S20" s="14" t="e">
        <f>'Engineer Self Assessment'!BG23</f>
        <v>#N/A</v>
      </c>
      <c r="T20" s="14" t="e">
        <f>'Engineer Self Assessment'!BH23</f>
        <v>#N/A</v>
      </c>
      <c r="U20" s="14" t="e">
        <f>'Engineer Self Assessment'!BI23</f>
        <v>#N/A</v>
      </c>
      <c r="V20" s="14" t="e">
        <f>'Engineer Self Assessment'!BJ23</f>
        <v>#N/A</v>
      </c>
      <c r="W20" s="14" t="e">
        <f>'Engineer Self Assessment'!BK23</f>
        <v>#N/A</v>
      </c>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row>
    <row r="21" spans="1:54" ht="19.5" customHeight="1" thickBot="1" x14ac:dyDescent="0.3">
      <c r="A21" s="3"/>
      <c r="B21" s="3"/>
      <c r="C21" s="3"/>
      <c r="D21" s="3"/>
      <c r="E21" s="3"/>
      <c r="F21" s="3"/>
      <c r="G21" s="3"/>
      <c r="H21" s="3"/>
      <c r="I21" s="3"/>
      <c r="L21" s="185" t="str">
        <f>L9&amp;" / Coach View"</f>
        <v>Skills / Coach View</v>
      </c>
      <c r="M21" s="186"/>
      <c r="N21" s="186"/>
      <c r="O21" s="186"/>
      <c r="P21" s="186"/>
      <c r="Q21" s="190"/>
      <c r="R21" s="185" t="str">
        <f t="shared" ref="R21" si="3">R9&amp;" / Coach View"</f>
        <v>Technical Knowledge / Coach View</v>
      </c>
      <c r="S21" s="186"/>
      <c r="T21" s="186"/>
      <c r="U21" s="186"/>
      <c r="V21" s="186"/>
      <c r="W21" s="18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11"/>
    </row>
    <row r="22" spans="1:54" ht="15" customHeight="1" x14ac:dyDescent="0.25">
      <c r="H22" s="3"/>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row>
    <row r="23" spans="1:54" ht="51" customHeight="1" x14ac:dyDescent="0.25">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row>
    <row r="24" spans="1:54" ht="42.75" customHeight="1" x14ac:dyDescent="0.25">
      <c r="A24" s="11"/>
      <c r="B24" s="11"/>
      <c r="C24" s="11"/>
      <c r="D24" s="11"/>
      <c r="E24" s="11"/>
      <c r="F24" s="11"/>
      <c r="G24" s="11"/>
      <c r="H24" s="11"/>
      <c r="I24" s="11"/>
      <c r="J24" s="11"/>
    </row>
    <row r="25" spans="1:54" ht="32.25" customHeight="1" x14ac:dyDescent="0.25">
      <c r="A25" s="11"/>
      <c r="B25" s="11"/>
      <c r="C25" s="11"/>
      <c r="D25" s="11"/>
      <c r="E25" s="11"/>
      <c r="F25" s="11"/>
      <c r="G25" s="11"/>
      <c r="H25" s="11"/>
      <c r="I25" s="11"/>
      <c r="J25" s="11"/>
    </row>
    <row r="26" spans="1:54" ht="27" customHeight="1" x14ac:dyDescent="0.25">
      <c r="A26" s="11"/>
      <c r="B26" s="11"/>
      <c r="C26" s="11"/>
      <c r="D26" s="11"/>
      <c r="E26" s="11"/>
      <c r="F26" s="11"/>
      <c r="G26" s="11"/>
      <c r="H26" s="11"/>
      <c r="I26" s="11"/>
      <c r="J26" s="11"/>
    </row>
    <row r="27" spans="1:54" ht="21" customHeight="1" x14ac:dyDescent="0.25">
      <c r="A27" s="11"/>
      <c r="B27" s="11"/>
      <c r="C27" s="11"/>
      <c r="D27" s="11"/>
      <c r="E27" s="11"/>
      <c r="F27" s="11"/>
      <c r="G27" s="11"/>
      <c r="H27" s="11"/>
      <c r="I27" s="11"/>
      <c r="J27" s="11"/>
    </row>
    <row r="28" spans="1:54" ht="21" customHeight="1" x14ac:dyDescent="0.25">
      <c r="A28" s="11"/>
      <c r="B28" s="11"/>
      <c r="C28" s="11"/>
      <c r="D28" s="11"/>
      <c r="E28" s="11"/>
      <c r="F28" s="11"/>
      <c r="G28" s="11"/>
      <c r="H28" s="11"/>
      <c r="I28" s="11"/>
      <c r="J28" s="11"/>
    </row>
    <row r="29" spans="1:54" ht="21" customHeight="1" x14ac:dyDescent="0.25">
      <c r="A29" s="11"/>
      <c r="B29" s="11"/>
      <c r="C29" s="11"/>
      <c r="D29" s="11"/>
      <c r="E29" s="11"/>
      <c r="F29" s="11"/>
      <c r="G29" s="11"/>
      <c r="H29" s="11"/>
      <c r="I29" s="11"/>
      <c r="J29" s="11"/>
    </row>
    <row r="30" spans="1:54" ht="21" customHeight="1" x14ac:dyDescent="0.25">
      <c r="A30" s="11"/>
      <c r="B30" s="11"/>
      <c r="C30" s="11"/>
      <c r="D30" s="11"/>
      <c r="E30" s="11"/>
      <c r="F30" s="11"/>
      <c r="G30" s="11"/>
      <c r="H30" s="11"/>
      <c r="I30" s="11"/>
      <c r="J30" s="11"/>
    </row>
    <row r="31" spans="1:54" ht="21" customHeight="1" x14ac:dyDescent="0.25">
      <c r="A31" s="11"/>
      <c r="B31" s="11"/>
      <c r="C31" s="11"/>
      <c r="D31" s="11"/>
      <c r="E31" s="11"/>
      <c r="F31" s="11"/>
      <c r="G31" s="11"/>
      <c r="H31" s="11"/>
      <c r="I31" s="11"/>
      <c r="J31" s="11"/>
    </row>
    <row r="32" spans="1:54" ht="21" customHeight="1" x14ac:dyDescent="0.25">
      <c r="A32" s="11"/>
      <c r="B32" s="11"/>
      <c r="C32" s="11"/>
      <c r="D32" s="11"/>
      <c r="E32" s="11"/>
      <c r="F32" s="11"/>
      <c r="G32" s="11"/>
      <c r="H32" s="11"/>
      <c r="I32" s="11"/>
      <c r="J32" s="11"/>
    </row>
    <row r="33" spans="1:10" ht="27" customHeight="1" x14ac:dyDescent="0.25">
      <c r="A33" s="11"/>
      <c r="B33" s="11"/>
      <c r="C33" s="11"/>
      <c r="D33" s="11"/>
      <c r="E33" s="11"/>
      <c r="F33" s="11"/>
      <c r="G33" s="11"/>
      <c r="H33" s="11"/>
      <c r="I33" s="11"/>
      <c r="J33" s="11"/>
    </row>
    <row r="34" spans="1:10" ht="21" customHeight="1" x14ac:dyDescent="0.25">
      <c r="A34" s="11"/>
      <c r="B34" s="11"/>
      <c r="C34" s="11"/>
      <c r="D34" s="11"/>
      <c r="E34" s="11"/>
      <c r="F34" s="11"/>
      <c r="G34" s="11"/>
      <c r="H34" s="11"/>
      <c r="I34" s="11"/>
      <c r="J34" s="11"/>
    </row>
    <row r="35" spans="1:10" ht="21" customHeight="1" x14ac:dyDescent="0.25">
      <c r="A35" s="11"/>
      <c r="B35" s="11"/>
      <c r="C35" s="11"/>
      <c r="D35" s="11"/>
      <c r="E35" s="11"/>
      <c r="F35" s="11"/>
      <c r="G35" s="11"/>
      <c r="H35" s="11"/>
      <c r="I35" s="11"/>
      <c r="J35" s="11"/>
    </row>
    <row r="36" spans="1:10" ht="21" customHeight="1" x14ac:dyDescent="0.25">
      <c r="A36" s="11"/>
      <c r="B36" s="11"/>
      <c r="C36" s="11"/>
      <c r="D36" s="11"/>
      <c r="E36" s="11"/>
      <c r="F36" s="11"/>
      <c r="G36" s="11"/>
      <c r="H36" s="11"/>
      <c r="I36" s="11"/>
      <c r="J36" s="11"/>
    </row>
    <row r="37" spans="1:10" ht="21" customHeight="1" x14ac:dyDescent="0.25">
      <c r="A37" s="11"/>
      <c r="B37" s="11"/>
      <c r="C37" s="11"/>
      <c r="D37" s="11"/>
      <c r="E37" s="11"/>
      <c r="F37" s="11"/>
      <c r="G37" s="11"/>
      <c r="H37" s="11"/>
      <c r="I37" s="11"/>
      <c r="J37" s="11"/>
    </row>
    <row r="38" spans="1:10" ht="21" customHeight="1" x14ac:dyDescent="0.25">
      <c r="A38" s="11"/>
      <c r="B38" s="11"/>
      <c r="C38" s="11"/>
      <c r="D38" s="11"/>
      <c r="E38" s="11"/>
      <c r="F38" s="11"/>
      <c r="G38" s="11"/>
      <c r="H38" s="11"/>
      <c r="I38" s="11"/>
      <c r="J38" s="11"/>
    </row>
    <row r="39" spans="1:10" ht="21" customHeight="1" x14ac:dyDescent="0.25">
      <c r="A39" s="11"/>
      <c r="B39" s="11"/>
      <c r="C39" s="11"/>
      <c r="D39" s="11"/>
      <c r="E39" s="11"/>
      <c r="F39" s="11"/>
      <c r="G39" s="11"/>
      <c r="H39" s="11"/>
      <c r="I39" s="11"/>
      <c r="J39" s="11"/>
    </row>
    <row r="40" spans="1:10" x14ac:dyDescent="0.25">
      <c r="A40" s="11"/>
      <c r="B40" s="11"/>
      <c r="C40" s="11"/>
      <c r="D40" s="11"/>
      <c r="E40" s="11"/>
      <c r="F40" s="11"/>
      <c r="G40" s="11"/>
      <c r="H40" s="11"/>
      <c r="I40" s="11"/>
      <c r="J40" s="11"/>
    </row>
    <row r="41" spans="1:10" ht="19.5" customHeight="1" x14ac:dyDescent="0.25">
      <c r="A41" s="11"/>
      <c r="B41" s="11"/>
      <c r="C41" s="11"/>
      <c r="D41" s="11"/>
      <c r="E41" s="11"/>
      <c r="F41" s="11"/>
      <c r="G41" s="11"/>
      <c r="H41" s="11"/>
      <c r="I41" s="11"/>
      <c r="J41" s="11"/>
    </row>
    <row r="42" spans="1:10" ht="51" customHeight="1" x14ac:dyDescent="0.25">
      <c r="A42" s="11"/>
      <c r="B42" s="11"/>
      <c r="C42" s="11"/>
      <c r="D42" s="11"/>
      <c r="E42" s="11"/>
      <c r="F42" s="11"/>
      <c r="G42" s="11"/>
      <c r="H42" s="11"/>
      <c r="I42" s="11"/>
      <c r="J42" s="11"/>
    </row>
    <row r="43" spans="1:10" ht="42.75" customHeight="1" x14ac:dyDescent="0.25"/>
    <row r="44" spans="1:10" ht="32.25" customHeight="1" x14ac:dyDescent="0.25"/>
    <row r="45" spans="1:10" ht="27" customHeight="1" x14ac:dyDescent="0.25"/>
    <row r="46" spans="1:10" ht="21" customHeight="1" x14ac:dyDescent="0.25"/>
    <row r="47" spans="1:10" ht="21" customHeight="1" x14ac:dyDescent="0.25"/>
    <row r="48" spans="1:10" ht="21" customHeight="1" x14ac:dyDescent="0.25"/>
    <row r="49" ht="21" customHeight="1" x14ac:dyDescent="0.25"/>
    <row r="50" ht="21" customHeight="1" x14ac:dyDescent="0.25"/>
    <row r="51" ht="21" customHeight="1" x14ac:dyDescent="0.25"/>
    <row r="52" ht="27"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sheetData>
  <sheetProtection selectLockedCells="1"/>
  <mergeCells count="16">
    <mergeCell ref="AP21:AU21"/>
    <mergeCell ref="AV21:BA21"/>
    <mergeCell ref="L21:Q21"/>
    <mergeCell ref="R21:W21"/>
    <mergeCell ref="X21:AC21"/>
    <mergeCell ref="AD21:AI21"/>
    <mergeCell ref="AJ21:AO21"/>
    <mergeCell ref="C4:H4"/>
    <mergeCell ref="C8:H8"/>
    <mergeCell ref="AP9:AU9"/>
    <mergeCell ref="AV9:BA9"/>
    <mergeCell ref="L9:Q9"/>
    <mergeCell ref="R9:W9"/>
    <mergeCell ref="X9:AC9"/>
    <mergeCell ref="AD9:AI9"/>
    <mergeCell ref="AJ9:AO9"/>
  </mergeCells>
  <dataValidations count="1">
    <dataValidation type="list" allowBlank="1" showInputMessage="1" showErrorMessage="1" sqref="C6:H6">
      <formula1>List3</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BS30"/>
  <sheetViews>
    <sheetView zoomScaleNormal="100" workbookViewId="0">
      <selection activeCell="I100" sqref="I100"/>
    </sheetView>
  </sheetViews>
  <sheetFormatPr defaultRowHeight="15" x14ac:dyDescent="0.25"/>
  <cols>
    <col min="1" max="1" width="3.140625" style="25" customWidth="1"/>
    <col min="2" max="3" width="12.28515625" style="25" customWidth="1"/>
    <col min="4" max="4" width="9.140625" style="25"/>
    <col min="5" max="6" width="10.42578125" style="25" customWidth="1"/>
    <col min="7" max="7" width="10.85546875" style="25" customWidth="1"/>
    <col min="8" max="8" width="10.5703125" style="25" customWidth="1"/>
    <col min="9" max="9" width="10.140625" style="25" customWidth="1"/>
    <col min="10" max="10" width="10.28515625" style="25" customWidth="1"/>
    <col min="11" max="11" width="6.140625" style="25" customWidth="1"/>
    <col min="12" max="16384" width="9.140625" style="25"/>
  </cols>
  <sheetData>
    <row r="1" spans="2:71" ht="8.25" customHeight="1" thickBot="1" x14ac:dyDescent="0.3"/>
    <row r="2" spans="2:71" x14ac:dyDescent="0.25">
      <c r="B2" s="22" t="s">
        <v>38</v>
      </c>
      <c r="C2" s="264" t="str">
        <f>IF(Results!L2="","Enter Details on Title Tab",Results!L2)</f>
        <v>Enter Details on Title Tab</v>
      </c>
      <c r="D2" s="265"/>
      <c r="E2" s="265"/>
      <c r="F2" s="266"/>
      <c r="M2" s="49"/>
      <c r="N2" s="49"/>
      <c r="O2" s="49"/>
      <c r="P2" s="49"/>
      <c r="Q2" s="49"/>
      <c r="R2" s="49"/>
      <c r="S2" s="49"/>
      <c r="T2" s="49"/>
      <c r="U2" s="49"/>
      <c r="V2" s="49"/>
      <c r="W2" s="49"/>
      <c r="X2" s="49"/>
      <c r="Y2" s="49"/>
      <c r="Z2" s="49"/>
      <c r="AA2" s="49"/>
      <c r="AB2" s="49"/>
      <c r="AC2" s="49"/>
      <c r="BP2" s="25" t="str">
        <f>Master!AM1</f>
        <v>Novice</v>
      </c>
      <c r="BS2" s="49"/>
    </row>
    <row r="3" spans="2:71" x14ac:dyDescent="0.25">
      <c r="B3" s="23" t="s">
        <v>11</v>
      </c>
      <c r="C3" s="267" t="str">
        <f>IF(Results!L3="","",Results!L3)</f>
        <v/>
      </c>
      <c r="D3" s="268"/>
      <c r="E3" s="268"/>
      <c r="F3" s="269"/>
      <c r="M3" s="49"/>
      <c r="N3" s="49"/>
      <c r="O3" s="49"/>
      <c r="P3" s="49"/>
      <c r="Q3" s="49"/>
      <c r="R3" s="49"/>
      <c r="S3" s="49"/>
      <c r="T3" s="49"/>
      <c r="U3" s="49"/>
      <c r="V3" s="49"/>
      <c r="W3" s="49"/>
      <c r="X3" s="49"/>
      <c r="Y3" s="49"/>
      <c r="Z3" s="49"/>
      <c r="AA3" s="49"/>
      <c r="AB3" s="49"/>
      <c r="AC3" s="49"/>
      <c r="BP3" s="25" t="str">
        <f>Master!AM2</f>
        <v>Intermediate</v>
      </c>
      <c r="BS3" s="49"/>
    </row>
    <row r="4" spans="2:71" ht="15.75" thickBot="1" x14ac:dyDescent="0.3">
      <c r="B4" s="24" t="s">
        <v>10</v>
      </c>
      <c r="C4" s="270" t="str">
        <f>IF(Results!L5="","",Results!L5)</f>
        <v/>
      </c>
      <c r="D4" s="271"/>
      <c r="E4" s="271"/>
      <c r="F4" s="272"/>
      <c r="BP4" s="25" t="str">
        <f>Master!AM3</f>
        <v>Competent</v>
      </c>
    </row>
    <row r="5" spans="2:71" ht="15.75" thickBot="1" x14ac:dyDescent="0.3">
      <c r="BP5" s="25" t="str">
        <f>Master!AM4</f>
        <v>Advanced</v>
      </c>
    </row>
    <row r="6" spans="2:71" x14ac:dyDescent="0.25">
      <c r="B6" s="273" t="s">
        <v>12</v>
      </c>
      <c r="C6" s="274"/>
      <c r="D6" s="274"/>
      <c r="E6" s="274"/>
      <c r="F6" s="274"/>
      <c r="G6" s="136" t="s">
        <v>247</v>
      </c>
      <c r="H6" s="129" t="s">
        <v>348</v>
      </c>
      <c r="I6" s="68"/>
      <c r="K6" s="50"/>
      <c r="L6" s="261" t="str">
        <f>BP2</f>
        <v>Novice</v>
      </c>
      <c r="M6" s="261"/>
      <c r="N6" s="257" t="str">
        <f>BP3</f>
        <v>Intermediate</v>
      </c>
      <c r="O6" s="257"/>
      <c r="P6" s="257" t="str">
        <f>BP4</f>
        <v>Competent</v>
      </c>
      <c r="Q6" s="257"/>
      <c r="R6" s="257" t="str">
        <f>BP5</f>
        <v>Advanced</v>
      </c>
      <c r="S6" s="257"/>
      <c r="T6" s="257" t="str">
        <f>BQ6</f>
        <v>Expert</v>
      </c>
      <c r="U6" s="257"/>
      <c r="BQ6" s="25" t="str">
        <f>Master!AM5</f>
        <v>Expert</v>
      </c>
    </row>
    <row r="7" spans="2:71" x14ac:dyDescent="0.25">
      <c r="B7" s="130" t="str">
        <f>I15</f>
        <v xml:space="preserve">Module 1 - HHT       </v>
      </c>
      <c r="C7" s="51"/>
      <c r="D7" s="137" t="str">
        <f>IF(I17=1,SUM(HHT!F8:F132),"")</f>
        <v/>
      </c>
      <c r="E7" s="258" t="str">
        <f>IF($I$17="","",IF($D7&gt;$M7,IF($D7&gt;$O7,IF($D7&gt;$Q7,IF($D7&gt;$S7,$T$6,$R$6),$P$6),$N$6),$L$6))</f>
        <v/>
      </c>
      <c r="F7" s="258"/>
      <c r="G7" s="63" t="e">
        <f t="shared" ref="G7:G12" si="0">D7/U7</f>
        <v>#VALUE!</v>
      </c>
      <c r="H7" s="131" t="e">
        <f t="shared" ref="H7:H12" si="1">(U7-D7)/U7</f>
        <v>#VALUE!</v>
      </c>
      <c r="I7" s="67"/>
      <c r="J7" s="257" t="s">
        <v>5</v>
      </c>
      <c r="K7" s="259"/>
      <c r="L7" s="52">
        <v>0</v>
      </c>
      <c r="M7" s="53">
        <v>17</v>
      </c>
      <c r="N7" s="54">
        <v>18</v>
      </c>
      <c r="O7" s="55">
        <v>21</v>
      </c>
      <c r="P7" s="56">
        <v>22</v>
      </c>
      <c r="Q7" s="57">
        <v>24</v>
      </c>
      <c r="R7" s="58">
        <v>25</v>
      </c>
      <c r="S7" s="59">
        <v>27</v>
      </c>
      <c r="T7" s="60">
        <v>28</v>
      </c>
      <c r="U7" s="61">
        <v>30</v>
      </c>
    </row>
    <row r="8" spans="2:71" x14ac:dyDescent="0.25">
      <c r="B8" s="130" t="str">
        <f>I19</f>
        <v>Module 2 - Broadband</v>
      </c>
      <c r="C8" s="51"/>
      <c r="D8" s="137" t="str">
        <f>IF(I21=1,SUM(Broadband!F8:F171),"")</f>
        <v/>
      </c>
      <c r="E8" s="258" t="str">
        <f>IF($I$21="","",IF($D8&gt;$M8,IF($D8&gt;$O8,IF($D8&gt;$Q8,IF($D8&gt;$S8,$T$6,$R$6),$P$6),$N$6),$L$6))</f>
        <v/>
      </c>
      <c r="F8" s="258"/>
      <c r="G8" s="63" t="e">
        <f t="shared" si="0"/>
        <v>#VALUE!</v>
      </c>
      <c r="H8" s="131" t="e">
        <f t="shared" si="1"/>
        <v>#VALUE!</v>
      </c>
      <c r="I8" s="67"/>
      <c r="J8" s="257" t="s">
        <v>13</v>
      </c>
      <c r="K8" s="259"/>
      <c r="L8" s="52">
        <v>0</v>
      </c>
      <c r="M8" s="53">
        <v>20</v>
      </c>
      <c r="N8" s="54">
        <v>21</v>
      </c>
      <c r="O8" s="55">
        <v>24</v>
      </c>
      <c r="P8" s="56">
        <v>25</v>
      </c>
      <c r="Q8" s="57">
        <v>32</v>
      </c>
      <c r="R8" s="58">
        <v>33</v>
      </c>
      <c r="S8" s="59">
        <v>37</v>
      </c>
      <c r="T8" s="60">
        <v>38</v>
      </c>
      <c r="U8" s="61">
        <v>40</v>
      </c>
    </row>
    <row r="9" spans="2:71" x14ac:dyDescent="0.25">
      <c r="B9" s="130" t="str">
        <f>I23</f>
        <v>Module 3 - CAL / OMI</v>
      </c>
      <c r="C9" s="51"/>
      <c r="D9" s="137" t="str">
        <f>IF(I25=1,SUM('CAL OMI'!F8:F172),"")</f>
        <v/>
      </c>
      <c r="E9" s="258" t="str">
        <f>IF($I$25="","",IF($D9&gt;$M9,IF($D9&gt;$O9,IF($D9&gt;$Q9,IF($D9&gt;$S9,$T$6,$R$6),$P$6),$N$6),$L$6))</f>
        <v/>
      </c>
      <c r="F9" s="258"/>
      <c r="G9" s="63" t="e">
        <f t="shared" si="0"/>
        <v>#VALUE!</v>
      </c>
      <c r="H9" s="131" t="e">
        <f t="shared" si="1"/>
        <v>#VALUE!</v>
      </c>
      <c r="I9" s="67"/>
      <c r="J9" s="257" t="s">
        <v>1</v>
      </c>
      <c r="K9" s="259"/>
      <c r="L9" s="52">
        <v>0</v>
      </c>
      <c r="M9" s="53">
        <v>20</v>
      </c>
      <c r="N9" s="54">
        <v>21</v>
      </c>
      <c r="O9" s="55">
        <v>24</v>
      </c>
      <c r="P9" s="56">
        <v>25</v>
      </c>
      <c r="Q9" s="57">
        <v>32</v>
      </c>
      <c r="R9" s="58">
        <v>33</v>
      </c>
      <c r="S9" s="59">
        <v>37</v>
      </c>
      <c r="T9" s="60">
        <v>38</v>
      </c>
      <c r="U9" s="61">
        <v>40</v>
      </c>
    </row>
    <row r="10" spans="2:71" x14ac:dyDescent="0.25">
      <c r="B10" s="130" t="str">
        <f>L15</f>
        <v>Module 4 - UG</v>
      </c>
      <c r="C10" s="51"/>
      <c r="D10" s="137" t="str">
        <f>IF(L17=1,SUM(UG!F8:F145),"")</f>
        <v/>
      </c>
      <c r="E10" s="258" t="str">
        <f>IF($L$17="","",IF($D10&gt;$M10,IF($D10&gt;$O10,IF($D10&gt;$Q10,IF($D10&gt;$S10,$T$6,$R$6),$P$6),$N$6),$L$6))</f>
        <v/>
      </c>
      <c r="F10" s="258"/>
      <c r="G10" s="63" t="e">
        <f t="shared" si="0"/>
        <v>#VALUE!</v>
      </c>
      <c r="H10" s="131" t="e">
        <f t="shared" si="1"/>
        <v>#VALUE!</v>
      </c>
      <c r="I10" s="67"/>
      <c r="J10" s="257" t="s">
        <v>657</v>
      </c>
      <c r="K10" s="259"/>
      <c r="L10" s="52">
        <v>0</v>
      </c>
      <c r="M10" s="53">
        <v>15</v>
      </c>
      <c r="N10" s="54">
        <v>16</v>
      </c>
      <c r="O10" s="55">
        <v>20</v>
      </c>
      <c r="P10" s="56">
        <v>21</v>
      </c>
      <c r="Q10" s="57">
        <v>24</v>
      </c>
      <c r="R10" s="58">
        <v>25</v>
      </c>
      <c r="S10" s="59">
        <v>31</v>
      </c>
      <c r="T10" s="60">
        <v>32</v>
      </c>
      <c r="U10" s="61">
        <v>34</v>
      </c>
    </row>
    <row r="11" spans="2:71" x14ac:dyDescent="0.25">
      <c r="B11" s="130" t="str">
        <f>L19</f>
        <v>Module 5 - Iphone</v>
      </c>
      <c r="C11" s="51"/>
      <c r="D11" s="137" t="str">
        <f>IF(L21=1,SUM(IPhone!F8:F107),"")</f>
        <v/>
      </c>
      <c r="E11" s="258" t="str">
        <f>IF($L$21="","",IF($D11&gt;$M11,IF($D11&gt;$O11,IF($D11&gt;$Q11,IF($D11&gt;$S11,$T$6,$R$6),$P$6),$N$6),$L$6))</f>
        <v/>
      </c>
      <c r="F11" s="258"/>
      <c r="G11" s="63" t="e">
        <f t="shared" si="0"/>
        <v>#VALUE!</v>
      </c>
      <c r="H11" s="131" t="e">
        <f t="shared" si="1"/>
        <v>#VALUE!</v>
      </c>
      <c r="I11" s="67"/>
      <c r="J11" s="257" t="s">
        <v>4</v>
      </c>
      <c r="K11" s="259"/>
      <c r="L11" s="52">
        <v>0</v>
      </c>
      <c r="M11" s="53">
        <v>11</v>
      </c>
      <c r="N11" s="54">
        <v>12</v>
      </c>
      <c r="O11" s="55">
        <v>15</v>
      </c>
      <c r="P11" s="56">
        <v>16</v>
      </c>
      <c r="Q11" s="57">
        <v>19</v>
      </c>
      <c r="R11" s="58">
        <v>20</v>
      </c>
      <c r="S11" s="59">
        <v>22</v>
      </c>
      <c r="T11" s="60">
        <v>23</v>
      </c>
      <c r="U11" s="61">
        <v>25</v>
      </c>
    </row>
    <row r="12" spans="2:71" ht="15.75" thickBot="1" x14ac:dyDescent="0.3">
      <c r="B12" s="132" t="s">
        <v>669</v>
      </c>
      <c r="C12" s="133"/>
      <c r="D12" s="138" t="str">
        <f>IF(L25=1,SUM(Frames!F8:F96),"")</f>
        <v/>
      </c>
      <c r="E12" s="260" t="str">
        <f>IF($L$25="","",IF($D12&gt;$M12,IF($D12&gt;$O12,IF($D12&gt;$Q12,IF($D12&gt;$S12,$T$6,$R$6),$P$6),$N$6),$L$6))</f>
        <v/>
      </c>
      <c r="F12" s="260"/>
      <c r="G12" s="134" t="e">
        <f t="shared" si="0"/>
        <v>#VALUE!</v>
      </c>
      <c r="H12" s="135" t="e">
        <f t="shared" si="1"/>
        <v>#VALUE!</v>
      </c>
      <c r="J12" s="257" t="s">
        <v>670</v>
      </c>
      <c r="K12" s="259"/>
      <c r="L12" s="52">
        <v>0</v>
      </c>
      <c r="M12" s="53">
        <v>11</v>
      </c>
      <c r="N12" s="54">
        <v>12</v>
      </c>
      <c r="O12" s="55">
        <v>14</v>
      </c>
      <c r="P12" s="56">
        <v>15</v>
      </c>
      <c r="Q12" s="57">
        <v>17</v>
      </c>
      <c r="R12" s="58">
        <v>18</v>
      </c>
      <c r="S12" s="59">
        <v>20</v>
      </c>
      <c r="T12" s="60">
        <v>21</v>
      </c>
      <c r="U12" s="61">
        <v>22</v>
      </c>
    </row>
    <row r="14" spans="2:71" ht="15.75" thickBot="1" x14ac:dyDescent="0.3"/>
    <row r="15" spans="2:71" ht="15.75" thickBot="1" x14ac:dyDescent="0.3">
      <c r="B15" s="123" t="s">
        <v>350</v>
      </c>
      <c r="C15" s="124"/>
      <c r="D15" s="125" t="s">
        <v>462</v>
      </c>
      <c r="E15" s="125" t="s">
        <v>463</v>
      </c>
      <c r="F15" s="125" t="s">
        <v>464</v>
      </c>
      <c r="G15" s="126" t="s">
        <v>348</v>
      </c>
      <c r="I15" s="273" t="s">
        <v>36</v>
      </c>
      <c r="J15" s="275"/>
      <c r="L15" s="273" t="s">
        <v>656</v>
      </c>
      <c r="M15" s="275"/>
    </row>
    <row r="16" spans="2:71" x14ac:dyDescent="0.25">
      <c r="B16" s="119"/>
      <c r="C16" s="62" t="s">
        <v>349</v>
      </c>
      <c r="D16" s="122" t="str">
        <f>IF(I25=1,SUM('CAL OMI'!F8:F29),"")</f>
        <v/>
      </c>
      <c r="E16" s="122">
        <v>5</v>
      </c>
      <c r="F16" s="120" t="e">
        <f>D16/E16</f>
        <v>#VALUE!</v>
      </c>
      <c r="G16" s="121" t="e">
        <f>(E16-D16)/E16</f>
        <v>#VALUE!</v>
      </c>
      <c r="I16" s="276" t="s">
        <v>66</v>
      </c>
      <c r="J16" s="277"/>
      <c r="L16" s="276" t="s">
        <v>66</v>
      </c>
      <c r="M16" s="277"/>
    </row>
    <row r="17" spans="1:13" ht="15.75" thickBot="1" x14ac:dyDescent="0.3">
      <c r="B17" s="111"/>
      <c r="C17" s="26" t="s">
        <v>461</v>
      </c>
      <c r="D17" s="109" t="str">
        <f>IF(I25=1,SUM('CAL OMI'!F30:F86),"")</f>
        <v/>
      </c>
      <c r="E17" s="109">
        <v>14</v>
      </c>
      <c r="F17" s="110" t="e">
        <f t="shared" ref="F17:F19" si="2">D17/E17</f>
        <v>#VALUE!</v>
      </c>
      <c r="G17" s="112" t="e">
        <f t="shared" ref="G17:G19" si="3">(E17-D17)/E17</f>
        <v>#VALUE!</v>
      </c>
      <c r="I17" s="262" t="str">
        <f>IF(HHT!A1="","",HHT!A1)</f>
        <v/>
      </c>
      <c r="J17" s="263"/>
      <c r="L17" s="262" t="str">
        <f>IF(UG!A1="","",UG!A1)</f>
        <v/>
      </c>
      <c r="M17" s="263"/>
    </row>
    <row r="18" spans="1:13" ht="15.75" thickBot="1" x14ac:dyDescent="0.3">
      <c r="B18" s="111"/>
      <c r="C18" s="26" t="s">
        <v>6</v>
      </c>
      <c r="D18" s="109" t="str">
        <f>IF(I25=1,SUM('CAL OMI'!F87:F120),"")</f>
        <v/>
      </c>
      <c r="E18" s="109">
        <v>8</v>
      </c>
      <c r="F18" s="110" t="e">
        <f t="shared" si="2"/>
        <v>#VALUE!</v>
      </c>
      <c r="G18" s="112" t="e">
        <f t="shared" si="3"/>
        <v>#VALUE!</v>
      </c>
    </row>
    <row r="19" spans="1:13" ht="15.75" thickBot="1" x14ac:dyDescent="0.3">
      <c r="B19" s="115"/>
      <c r="C19" s="127" t="s">
        <v>351</v>
      </c>
      <c r="D19" s="116" t="str">
        <f>IF(I25=1,SUM('CAL OMI'!F121:F172),"")</f>
        <v/>
      </c>
      <c r="E19" s="116">
        <v>13</v>
      </c>
      <c r="F19" s="117" t="e">
        <f t="shared" si="2"/>
        <v>#VALUE!</v>
      </c>
      <c r="G19" s="118" t="e">
        <f t="shared" si="3"/>
        <v>#VALUE!</v>
      </c>
      <c r="I19" s="273" t="s">
        <v>14</v>
      </c>
      <c r="J19" s="275"/>
      <c r="L19" s="273" t="s">
        <v>15</v>
      </c>
      <c r="M19" s="275"/>
    </row>
    <row r="20" spans="1:13" ht="15.75" thickBot="1" x14ac:dyDescent="0.3">
      <c r="B20" s="123" t="s">
        <v>656</v>
      </c>
      <c r="C20" s="124"/>
      <c r="D20" s="125" t="s">
        <v>462</v>
      </c>
      <c r="E20" s="125" t="s">
        <v>463</v>
      </c>
      <c r="F20" s="125" t="s">
        <v>464</v>
      </c>
      <c r="G20" s="126" t="s">
        <v>348</v>
      </c>
      <c r="I20" s="276" t="s">
        <v>66</v>
      </c>
      <c r="J20" s="277"/>
      <c r="L20" s="276" t="s">
        <v>66</v>
      </c>
      <c r="M20" s="277"/>
    </row>
    <row r="21" spans="1:13" ht="15.75" thickBot="1" x14ac:dyDescent="0.3">
      <c r="B21" s="119"/>
      <c r="C21" s="62" t="s">
        <v>349</v>
      </c>
      <c r="D21" s="140" t="str">
        <f>IF(L17=1,SUM(UG!F8:F28),"")</f>
        <v/>
      </c>
      <c r="E21" s="140">
        <v>5</v>
      </c>
      <c r="F21" s="120" t="e">
        <f t="shared" ref="F21:F23" si="4">D21/E21</f>
        <v>#VALUE!</v>
      </c>
      <c r="G21" s="121" t="e">
        <f t="shared" ref="G21:G23" si="5">(E21-D21)/E21</f>
        <v>#VALUE!</v>
      </c>
      <c r="I21" s="262" t="str">
        <f>IF(Broadband!A1="","",Broadband!A1)</f>
        <v/>
      </c>
      <c r="J21" s="263"/>
      <c r="L21" s="262" t="str">
        <f>IF(IPhone!A1="","",IPhone!A1)</f>
        <v/>
      </c>
      <c r="M21" s="263"/>
    </row>
    <row r="22" spans="1:13" ht="15.75" thickBot="1" x14ac:dyDescent="0.3">
      <c r="B22" s="111"/>
      <c r="C22" s="26" t="s">
        <v>6</v>
      </c>
      <c r="D22" s="137" t="str">
        <f>IF(L17=1,SUM(UG!F29:F89),"")</f>
        <v/>
      </c>
      <c r="E22" s="137">
        <v>15</v>
      </c>
      <c r="F22" s="110" t="e">
        <f t="shared" si="4"/>
        <v>#VALUE!</v>
      </c>
      <c r="G22" s="112" t="e">
        <f t="shared" si="5"/>
        <v>#VALUE!</v>
      </c>
    </row>
    <row r="23" spans="1:13" ht="15.75" thickBot="1" x14ac:dyDescent="0.3">
      <c r="B23" s="43"/>
      <c r="C23" s="128" t="s">
        <v>461</v>
      </c>
      <c r="D23" s="138" t="str">
        <f>IF(L17=1,SUM(UG!F90:F145),"")</f>
        <v/>
      </c>
      <c r="E23" s="138">
        <v>14</v>
      </c>
      <c r="F23" s="113" t="e">
        <f t="shared" si="4"/>
        <v>#VALUE!</v>
      </c>
      <c r="G23" s="114" t="e">
        <f t="shared" si="5"/>
        <v>#VALUE!</v>
      </c>
      <c r="I23" s="273" t="s">
        <v>350</v>
      </c>
      <c r="J23" s="275"/>
      <c r="L23" s="273" t="s">
        <v>669</v>
      </c>
      <c r="M23" s="275"/>
    </row>
    <row r="24" spans="1:13" ht="15.75" thickBot="1" x14ac:dyDescent="0.3">
      <c r="B24" s="123" t="s">
        <v>669</v>
      </c>
      <c r="C24" s="124"/>
      <c r="D24" s="125" t="s">
        <v>462</v>
      </c>
      <c r="E24" s="125" t="s">
        <v>463</v>
      </c>
      <c r="F24" s="125" t="s">
        <v>464</v>
      </c>
      <c r="G24" s="126" t="s">
        <v>348</v>
      </c>
      <c r="I24" s="276" t="s">
        <v>66</v>
      </c>
      <c r="J24" s="277"/>
      <c r="L24" s="276" t="s">
        <v>66</v>
      </c>
      <c r="M24" s="277"/>
    </row>
    <row r="25" spans="1:13" ht="15.75" thickBot="1" x14ac:dyDescent="0.3">
      <c r="B25" s="119"/>
      <c r="C25" s="62" t="s">
        <v>349</v>
      </c>
      <c r="D25" s="140" t="str">
        <f>IF(L25=1,SUM(Frames!F8:F27),"")</f>
        <v/>
      </c>
      <c r="E25" s="140">
        <v>5</v>
      </c>
      <c r="F25" s="120" t="e">
        <f t="shared" ref="F25:F27" si="6">D25/E25</f>
        <v>#VALUE!</v>
      </c>
      <c r="G25" s="121" t="e">
        <f t="shared" ref="G25:G27" si="7">(E25-D25)/E25</f>
        <v>#VALUE!</v>
      </c>
      <c r="I25" s="262" t="str">
        <f>IF('CAL OMI'!A1="","",'CAL OMI'!A1)</f>
        <v/>
      </c>
      <c r="J25" s="263"/>
      <c r="L25" s="262" t="str">
        <f>IF(Frames!A1="","",Frames!A1)</f>
        <v/>
      </c>
      <c r="M25" s="263"/>
    </row>
    <row r="26" spans="1:13" x14ac:dyDescent="0.25">
      <c r="B26" s="111"/>
      <c r="C26" s="26" t="s">
        <v>6</v>
      </c>
      <c r="D26" s="137" t="str">
        <f>IF(L25=1,SUM(Frames!F28:F59),"")</f>
        <v/>
      </c>
      <c r="E26" s="137">
        <v>8</v>
      </c>
      <c r="F26" s="110" t="e">
        <f t="shared" si="6"/>
        <v>#VALUE!</v>
      </c>
      <c r="G26" s="112" t="e">
        <f t="shared" si="7"/>
        <v>#VALUE!</v>
      </c>
    </row>
    <row r="27" spans="1:13" ht="15.75" thickBot="1" x14ac:dyDescent="0.3">
      <c r="B27" s="43"/>
      <c r="C27" s="128" t="s">
        <v>461</v>
      </c>
      <c r="D27" s="138" t="str">
        <f>IF(L25=1,SUM(Frames!F60:F96),"")</f>
        <v/>
      </c>
      <c r="E27" s="138">
        <v>9</v>
      </c>
      <c r="F27" s="113" t="e">
        <f t="shared" si="6"/>
        <v>#VALUE!</v>
      </c>
      <c r="G27" s="114" t="e">
        <f t="shared" si="7"/>
        <v>#VALUE!</v>
      </c>
    </row>
    <row r="30" spans="1:13" x14ac:dyDescent="0.25">
      <c r="A30" s="50"/>
    </row>
  </sheetData>
  <sheetProtection selectLockedCells="1"/>
  <mergeCells count="39">
    <mergeCell ref="I23:J23"/>
    <mergeCell ref="I24:J24"/>
    <mergeCell ref="I25:J25"/>
    <mergeCell ref="L15:M15"/>
    <mergeCell ref="I15:J15"/>
    <mergeCell ref="I16:J16"/>
    <mergeCell ref="I17:J17"/>
    <mergeCell ref="I19:J19"/>
    <mergeCell ref="I20:J20"/>
    <mergeCell ref="L23:M23"/>
    <mergeCell ref="L24:M24"/>
    <mergeCell ref="L25:M25"/>
    <mergeCell ref="L16:M16"/>
    <mergeCell ref="L17:M17"/>
    <mergeCell ref="L19:M19"/>
    <mergeCell ref="L20:M20"/>
    <mergeCell ref="L21:M21"/>
    <mergeCell ref="I21:J21"/>
    <mergeCell ref="C2:F2"/>
    <mergeCell ref="C3:F3"/>
    <mergeCell ref="C4:F4"/>
    <mergeCell ref="B6:F6"/>
    <mergeCell ref="E9:F9"/>
    <mergeCell ref="T6:U6"/>
    <mergeCell ref="E7:F7"/>
    <mergeCell ref="J7:K7"/>
    <mergeCell ref="N6:O6"/>
    <mergeCell ref="J12:K12"/>
    <mergeCell ref="E12:F12"/>
    <mergeCell ref="L6:M6"/>
    <mergeCell ref="P6:Q6"/>
    <mergeCell ref="R6:S6"/>
    <mergeCell ref="J9:K9"/>
    <mergeCell ref="E8:F8"/>
    <mergeCell ref="J8:K8"/>
    <mergeCell ref="E11:F11"/>
    <mergeCell ref="J11:K11"/>
    <mergeCell ref="E10:F10"/>
    <mergeCell ref="J10:K10"/>
  </mergeCells>
  <conditionalFormatting sqref="E7:F12">
    <cfRule type="cellIs" dxfId="16" priority="80" operator="equal">
      <formula>$BP$2</formula>
    </cfRule>
    <cfRule type="cellIs" dxfId="15" priority="81" operator="equal">
      <formula>$BP$3</formula>
    </cfRule>
    <cfRule type="cellIs" dxfId="14" priority="82" operator="equal">
      <formula>$BP$4</formula>
    </cfRule>
    <cfRule type="cellIs" dxfId="13" priority="83" operator="equal">
      <formula>$BP$5</formula>
    </cfRule>
    <cfRule type="cellIs" dxfId="12" priority="84" operator="equal">
      <formula>$BQ$6</formula>
    </cfRule>
  </conditionalFormatting>
  <conditionalFormatting sqref="I17">
    <cfRule type="cellIs" dxfId="11" priority="85" operator="notEqual">
      <formula>$AM$6</formula>
    </cfRule>
    <cfRule type="cellIs" dxfId="10" priority="86" operator="equal">
      <formula>$Q$2</formula>
    </cfRule>
  </conditionalFormatting>
  <conditionalFormatting sqref="I21">
    <cfRule type="cellIs" dxfId="9" priority="9" operator="notEqual">
      <formula>$AM$6</formula>
    </cfRule>
    <cfRule type="cellIs" dxfId="8" priority="10" operator="equal">
      <formula>$Q$2</formula>
    </cfRule>
  </conditionalFormatting>
  <conditionalFormatting sqref="I25">
    <cfRule type="cellIs" dxfId="7" priority="7" operator="notEqual">
      <formula>$AM$6</formula>
    </cfRule>
    <cfRule type="cellIs" dxfId="6" priority="8" operator="equal">
      <formula>$Q$2</formula>
    </cfRule>
  </conditionalFormatting>
  <conditionalFormatting sqref="L17">
    <cfRule type="cellIs" dxfId="5" priority="5" operator="notEqual">
      <formula>$AM$6</formula>
    </cfRule>
    <cfRule type="cellIs" dxfId="4" priority="6" operator="equal">
      <formula>$Q$2</formula>
    </cfRule>
  </conditionalFormatting>
  <conditionalFormatting sqref="L21">
    <cfRule type="cellIs" dxfId="3" priority="3" operator="notEqual">
      <formula>$AM$6</formula>
    </cfRule>
    <cfRule type="cellIs" dxfId="2" priority="4" operator="equal">
      <formula>$Q$2</formula>
    </cfRule>
  </conditionalFormatting>
  <conditionalFormatting sqref="L25">
    <cfRule type="cellIs" dxfId="1" priority="1" operator="notEqual">
      <formula>$AM$6</formula>
    </cfRule>
    <cfRule type="cellIs" dxfId="0" priority="2" operator="equal">
      <formula>$Q$2</formula>
    </cfRule>
  </conditionalFormatting>
  <pageMargins left="0.7" right="0.7" top="0.75" bottom="0.75" header="0.3" footer="0.3"/>
  <pageSetup paperSize="9" orientation="portrait" horizontalDpi="4294967293" verticalDpi="4294967293" r:id="rId1"/>
  <ignoredErrors>
    <ignoredError sqref="F22:G22" formulaRange="1"/>
    <ignoredError sqref="F23:G23" evalError="1" formulaRange="1"/>
    <ignoredError sqref="G12:H12" evalError="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249977111117893"/>
  </sheetPr>
  <dimension ref="B8:O261"/>
  <sheetViews>
    <sheetView showGridLines="0" showRowColHeaders="0" zoomScale="90" zoomScaleNormal="90" workbookViewId="0">
      <selection activeCell="B14" sqref="B13:E17"/>
    </sheetView>
  </sheetViews>
  <sheetFormatPr defaultRowHeight="15" x14ac:dyDescent="0.25"/>
  <cols>
    <col min="1" max="1" width="2" style="21" customWidth="1"/>
    <col min="2" max="2" width="25.7109375" style="21" customWidth="1"/>
    <col min="3" max="3" width="9.85546875" style="21" customWidth="1"/>
    <col min="4" max="4" width="15.140625" style="21" bestFit="1" customWidth="1"/>
    <col min="5" max="5" width="9.7109375" style="21" bestFit="1" customWidth="1"/>
    <col min="6" max="6" width="3.42578125" style="21" customWidth="1"/>
    <col min="7" max="7" width="25.7109375" style="21" customWidth="1"/>
    <col min="8" max="8" width="9" style="21" bestFit="1" customWidth="1"/>
    <col min="9" max="9" width="15.140625" style="21" bestFit="1" customWidth="1"/>
    <col min="10" max="10" width="9.7109375" style="21" bestFit="1" customWidth="1"/>
    <col min="11" max="11" width="3.42578125" style="21" customWidth="1"/>
    <col min="12" max="12" width="25.7109375" style="21" customWidth="1"/>
    <col min="13" max="13" width="9" style="21" bestFit="1" customWidth="1"/>
    <col min="14" max="14" width="15.140625" style="21" bestFit="1" customWidth="1"/>
    <col min="15" max="15" width="9.7109375" style="21" bestFit="1" customWidth="1"/>
    <col min="16" max="16384" width="9.140625" style="21"/>
  </cols>
  <sheetData>
    <row r="8" spans="2:15" ht="15.75" thickBot="1" x14ac:dyDescent="0.3"/>
    <row r="9" spans="2:15" x14ac:dyDescent="0.25">
      <c r="B9" s="22" t="s">
        <v>38</v>
      </c>
      <c r="C9" s="284" t="str">
        <f>IF(Results!L2="","Enter Details on Front Cover Tab",Results!L2)</f>
        <v>Enter Details on Front Cover Tab</v>
      </c>
      <c r="D9" s="284"/>
      <c r="E9" s="285"/>
    </row>
    <row r="10" spans="2:15" x14ac:dyDescent="0.25">
      <c r="B10" s="23" t="s">
        <v>11</v>
      </c>
      <c r="C10" s="286" t="str">
        <f>IF(Results!L3="","",Results!L3)</f>
        <v/>
      </c>
      <c r="D10" s="286"/>
      <c r="E10" s="287"/>
    </row>
    <row r="11" spans="2:15" ht="15.75" thickBot="1" x14ac:dyDescent="0.3">
      <c r="B11" s="24" t="s">
        <v>10</v>
      </c>
      <c r="C11" s="288" t="str">
        <f>IF(Results!L5="","",Results!L5)</f>
        <v/>
      </c>
      <c r="D11" s="288"/>
      <c r="E11" s="289"/>
    </row>
    <row r="12" spans="2:15" ht="15.75" thickBot="1" x14ac:dyDescent="0.3"/>
    <row r="13" spans="2:15" ht="18.75" x14ac:dyDescent="0.3">
      <c r="B13" s="278" t="s">
        <v>33</v>
      </c>
      <c r="C13" s="279"/>
      <c r="D13" s="279"/>
      <c r="E13" s="280"/>
      <c r="G13" s="278" t="s">
        <v>34</v>
      </c>
      <c r="H13" s="279"/>
      <c r="I13" s="279"/>
      <c r="J13" s="280"/>
      <c r="L13" s="278" t="s">
        <v>35</v>
      </c>
      <c r="M13" s="279"/>
      <c r="N13" s="279"/>
      <c r="O13" s="280"/>
    </row>
    <row r="14" spans="2:15" ht="18.75" customHeight="1" x14ac:dyDescent="0.25">
      <c r="B14" s="281"/>
      <c r="C14" s="282"/>
      <c r="D14" s="282"/>
      <c r="E14" s="283"/>
      <c r="F14" s="30"/>
      <c r="G14" s="281"/>
      <c r="H14" s="282"/>
      <c r="I14" s="282"/>
      <c r="J14" s="283"/>
      <c r="K14" s="30"/>
      <c r="L14" s="281"/>
      <c r="M14" s="282"/>
      <c r="N14" s="282"/>
      <c r="O14" s="283"/>
    </row>
    <row r="15" spans="2:15" ht="18.75" customHeight="1" x14ac:dyDescent="0.25">
      <c r="B15" s="281"/>
      <c r="C15" s="282"/>
      <c r="D15" s="282"/>
      <c r="E15" s="283"/>
      <c r="F15" s="30"/>
      <c r="G15" s="281"/>
      <c r="H15" s="282"/>
      <c r="I15" s="282"/>
      <c r="J15" s="283"/>
      <c r="K15" s="30"/>
      <c r="L15" s="281"/>
      <c r="M15" s="282"/>
      <c r="N15" s="282"/>
      <c r="O15" s="283"/>
    </row>
    <row r="16" spans="2:15" ht="18.75" customHeight="1" x14ac:dyDescent="0.25">
      <c r="B16" s="281"/>
      <c r="C16" s="282"/>
      <c r="D16" s="282"/>
      <c r="E16" s="283"/>
      <c r="F16" s="30"/>
      <c r="G16" s="281"/>
      <c r="H16" s="282"/>
      <c r="I16" s="282"/>
      <c r="J16" s="283"/>
      <c r="K16" s="30"/>
      <c r="L16" s="281"/>
      <c r="M16" s="282"/>
      <c r="N16" s="282"/>
      <c r="O16" s="283"/>
    </row>
    <row r="17" spans="2:15" ht="30" customHeight="1" thickBot="1" x14ac:dyDescent="0.35">
      <c r="B17" s="31" t="s">
        <v>20</v>
      </c>
      <c r="C17" s="32" t="s">
        <v>21</v>
      </c>
      <c r="D17" s="32" t="s">
        <v>19</v>
      </c>
      <c r="E17" s="33" t="s">
        <v>18</v>
      </c>
      <c r="F17" s="30"/>
      <c r="G17" s="31" t="s">
        <v>20</v>
      </c>
      <c r="H17" s="32" t="s">
        <v>21</v>
      </c>
      <c r="I17" s="32" t="s">
        <v>19</v>
      </c>
      <c r="J17" s="33" t="s">
        <v>18</v>
      </c>
      <c r="K17" s="30"/>
      <c r="L17" s="31" t="s">
        <v>20</v>
      </c>
      <c r="M17" s="32" t="s">
        <v>21</v>
      </c>
      <c r="N17" s="32" t="s">
        <v>19</v>
      </c>
      <c r="O17" s="33" t="s">
        <v>18</v>
      </c>
    </row>
    <row r="18" spans="2:15" ht="41.25" customHeight="1" x14ac:dyDescent="0.25">
      <c r="B18" s="34"/>
      <c r="C18" s="34"/>
      <c r="D18" s="35"/>
      <c r="E18" s="36"/>
      <c r="F18" s="37"/>
      <c r="G18" s="34"/>
      <c r="H18" s="34"/>
      <c r="I18" s="35"/>
      <c r="J18" s="36"/>
      <c r="K18" s="37"/>
      <c r="L18" s="34"/>
      <c r="M18" s="34"/>
      <c r="N18" s="35"/>
      <c r="O18" s="36"/>
    </row>
    <row r="19" spans="2:15" ht="41.25" customHeight="1" x14ac:dyDescent="0.25">
      <c r="B19" s="34"/>
      <c r="C19" s="34"/>
      <c r="D19" s="35"/>
      <c r="E19" s="36"/>
      <c r="F19" s="37"/>
      <c r="G19" s="34"/>
      <c r="H19" s="34"/>
      <c r="I19" s="35"/>
      <c r="J19" s="36"/>
      <c r="K19" s="37"/>
      <c r="L19" s="34"/>
      <c r="M19" s="34"/>
      <c r="N19" s="35"/>
      <c r="O19" s="36"/>
    </row>
    <row r="20" spans="2:15" ht="41.25" customHeight="1" x14ac:dyDescent="0.25">
      <c r="B20" s="34"/>
      <c r="C20" s="34"/>
      <c r="D20" s="35"/>
      <c r="E20" s="36"/>
      <c r="F20" s="37"/>
      <c r="G20" s="34"/>
      <c r="H20" s="34"/>
      <c r="I20" s="35"/>
      <c r="J20" s="36"/>
      <c r="K20" s="37"/>
      <c r="L20" s="34"/>
      <c r="M20" s="34"/>
      <c r="N20" s="35"/>
      <c r="O20" s="36"/>
    </row>
    <row r="21" spans="2:15" ht="41.25" customHeight="1" x14ac:dyDescent="0.25">
      <c r="B21" s="34"/>
      <c r="C21" s="34"/>
      <c r="D21" s="35"/>
      <c r="E21" s="36"/>
      <c r="F21" s="37"/>
      <c r="G21" s="34"/>
      <c r="H21" s="34"/>
      <c r="I21" s="35"/>
      <c r="J21" s="36"/>
      <c r="K21" s="37"/>
      <c r="L21" s="34"/>
      <c r="M21" s="34"/>
      <c r="N21" s="35"/>
      <c r="O21" s="36"/>
    </row>
    <row r="22" spans="2:15" ht="41.25" customHeight="1" x14ac:dyDescent="0.25">
      <c r="B22" s="34"/>
      <c r="C22" s="34"/>
      <c r="D22" s="35"/>
      <c r="E22" s="36"/>
      <c r="F22" s="37"/>
      <c r="G22" s="34"/>
      <c r="H22" s="34"/>
      <c r="I22" s="35"/>
      <c r="J22" s="36"/>
      <c r="K22" s="37"/>
      <c r="L22" s="34"/>
      <c r="M22" s="34"/>
      <c r="N22" s="35"/>
      <c r="O22" s="36"/>
    </row>
    <row r="23" spans="2:15" ht="41.25" customHeight="1" x14ac:dyDescent="0.25">
      <c r="B23" s="34"/>
      <c r="C23" s="34"/>
      <c r="D23" s="35"/>
      <c r="E23" s="36"/>
      <c r="F23" s="37"/>
      <c r="G23" s="34"/>
      <c r="H23" s="34"/>
      <c r="I23" s="35"/>
      <c r="J23" s="36"/>
      <c r="K23" s="37"/>
      <c r="L23" s="34"/>
      <c r="M23" s="34"/>
      <c r="N23" s="35"/>
      <c r="O23" s="36"/>
    </row>
    <row r="24" spans="2:15" ht="41.25" customHeight="1" x14ac:dyDescent="0.25">
      <c r="B24" s="34"/>
      <c r="C24" s="34"/>
      <c r="D24" s="35"/>
      <c r="E24" s="36"/>
      <c r="F24" s="37"/>
      <c r="G24" s="34"/>
      <c r="H24" s="34"/>
      <c r="I24" s="35"/>
      <c r="J24" s="36"/>
      <c r="K24" s="37"/>
      <c r="L24" s="34"/>
      <c r="M24" s="34"/>
      <c r="N24" s="35"/>
      <c r="O24" s="36"/>
    </row>
    <row r="25" spans="2:15" ht="41.25" customHeight="1" x14ac:dyDescent="0.25">
      <c r="B25" s="34"/>
      <c r="C25" s="34"/>
      <c r="D25" s="35"/>
      <c r="E25" s="36"/>
      <c r="F25" s="37"/>
      <c r="G25" s="34"/>
      <c r="H25" s="34"/>
      <c r="I25" s="35"/>
      <c r="J25" s="36"/>
      <c r="K25" s="37"/>
      <c r="L25" s="34"/>
      <c r="M25" s="34"/>
      <c r="N25" s="35"/>
      <c r="O25" s="36"/>
    </row>
    <row r="26" spans="2:15" ht="41.25" customHeight="1" x14ac:dyDescent="0.25">
      <c r="B26" s="34"/>
      <c r="C26" s="34"/>
      <c r="D26" s="35"/>
      <c r="E26" s="36"/>
      <c r="F26" s="37"/>
      <c r="G26" s="34"/>
      <c r="H26" s="34"/>
      <c r="I26" s="35"/>
      <c r="J26" s="36"/>
      <c r="K26" s="37"/>
      <c r="L26" s="34"/>
      <c r="M26" s="34"/>
      <c r="N26" s="35"/>
      <c r="O26" s="36"/>
    </row>
    <row r="27" spans="2:15" ht="41.25" customHeight="1" x14ac:dyDescent="0.25">
      <c r="B27" s="34"/>
      <c r="C27" s="34"/>
      <c r="D27" s="35"/>
      <c r="E27" s="36"/>
      <c r="F27" s="37"/>
      <c r="G27" s="34"/>
      <c r="H27" s="34"/>
      <c r="I27" s="35"/>
      <c r="J27" s="36"/>
      <c r="K27" s="37"/>
      <c r="L27" s="34"/>
      <c r="M27" s="34"/>
      <c r="N27" s="35"/>
      <c r="O27" s="36"/>
    </row>
    <row r="28" spans="2:15" ht="41.25" customHeight="1" x14ac:dyDescent="0.25">
      <c r="B28" s="34"/>
      <c r="C28" s="34"/>
      <c r="D28" s="35"/>
      <c r="E28" s="36"/>
      <c r="F28" s="37"/>
      <c r="G28" s="34"/>
      <c r="H28" s="34"/>
      <c r="I28" s="35"/>
      <c r="J28" s="36"/>
      <c r="K28" s="37"/>
      <c r="L28" s="34"/>
      <c r="M28" s="34"/>
      <c r="N28" s="35"/>
      <c r="O28" s="36"/>
    </row>
    <row r="29" spans="2:15" ht="41.25" customHeight="1" x14ac:dyDescent="0.25">
      <c r="B29" s="34"/>
      <c r="C29" s="34"/>
      <c r="D29" s="35"/>
      <c r="E29" s="36"/>
      <c r="F29" s="37"/>
      <c r="G29" s="34"/>
      <c r="H29" s="34"/>
      <c r="I29" s="35"/>
      <c r="J29" s="36"/>
      <c r="K29" s="37"/>
      <c r="L29" s="34"/>
      <c r="M29" s="34"/>
      <c r="N29" s="35"/>
      <c r="O29" s="36"/>
    </row>
    <row r="30" spans="2:15" ht="41.25" customHeight="1" x14ac:dyDescent="0.25">
      <c r="B30" s="34"/>
      <c r="C30" s="34"/>
      <c r="D30" s="35"/>
      <c r="E30" s="36"/>
      <c r="F30" s="37"/>
      <c r="G30" s="34"/>
      <c r="H30" s="34"/>
      <c r="I30" s="35"/>
      <c r="J30" s="36"/>
      <c r="K30" s="37"/>
      <c r="L30" s="34"/>
      <c r="M30" s="34"/>
      <c r="N30" s="35"/>
      <c r="O30" s="36"/>
    </row>
    <row r="31" spans="2:15" ht="41.25" customHeight="1" x14ac:dyDescent="0.25">
      <c r="B31" s="34"/>
      <c r="C31" s="34"/>
      <c r="D31" s="35"/>
      <c r="E31" s="36"/>
      <c r="F31" s="37"/>
      <c r="G31" s="34"/>
      <c r="H31" s="34"/>
      <c r="I31" s="35"/>
      <c r="J31" s="36"/>
      <c r="K31" s="37"/>
      <c r="L31" s="34"/>
      <c r="M31" s="34"/>
      <c r="N31" s="35"/>
      <c r="O31" s="36"/>
    </row>
    <row r="32" spans="2:15" ht="41.25" customHeight="1" x14ac:dyDescent="0.25">
      <c r="B32" s="34"/>
      <c r="C32" s="34"/>
      <c r="D32" s="35"/>
      <c r="E32" s="36"/>
      <c r="F32" s="37"/>
      <c r="G32" s="34"/>
      <c r="H32" s="34"/>
      <c r="I32" s="35"/>
      <c r="J32" s="36"/>
      <c r="K32" s="37"/>
      <c r="L32" s="34"/>
      <c r="M32" s="34"/>
      <c r="N32" s="35"/>
      <c r="O32" s="36"/>
    </row>
    <row r="33" spans="2:15" ht="41.25" customHeight="1" x14ac:dyDescent="0.25">
      <c r="B33" s="34"/>
      <c r="C33" s="34"/>
      <c r="D33" s="35"/>
      <c r="E33" s="36"/>
      <c r="F33" s="37"/>
      <c r="G33" s="34"/>
      <c r="H33" s="34"/>
      <c r="I33" s="35"/>
      <c r="J33" s="36"/>
      <c r="K33" s="37"/>
      <c r="L33" s="34"/>
      <c r="M33" s="34"/>
      <c r="N33" s="35"/>
      <c r="O33" s="36"/>
    </row>
    <row r="34" spans="2:15" ht="41.25" customHeight="1" x14ac:dyDescent="0.25">
      <c r="B34" s="34"/>
      <c r="C34" s="34"/>
      <c r="D34" s="35"/>
      <c r="E34" s="36"/>
      <c r="F34" s="37"/>
      <c r="G34" s="34"/>
      <c r="H34" s="34"/>
      <c r="I34" s="35"/>
      <c r="J34" s="36"/>
      <c r="K34" s="37"/>
      <c r="L34" s="34"/>
      <c r="M34" s="34"/>
      <c r="N34" s="35"/>
      <c r="O34" s="36"/>
    </row>
    <row r="35" spans="2:15" ht="41.25" customHeight="1" x14ac:dyDescent="0.25">
      <c r="B35" s="34"/>
      <c r="C35" s="34"/>
      <c r="D35" s="35"/>
      <c r="E35" s="36"/>
      <c r="F35" s="37"/>
      <c r="G35" s="34"/>
      <c r="H35" s="34"/>
      <c r="I35" s="35"/>
      <c r="J35" s="36"/>
      <c r="K35" s="37"/>
      <c r="L35" s="34"/>
      <c r="M35" s="34"/>
      <c r="N35" s="35"/>
      <c r="O35" s="36"/>
    </row>
    <row r="36" spans="2:15" ht="41.25" customHeight="1" x14ac:dyDescent="0.25">
      <c r="B36" s="34"/>
      <c r="C36" s="34"/>
      <c r="D36" s="35"/>
      <c r="E36" s="36"/>
      <c r="F36" s="37"/>
      <c r="G36" s="34"/>
      <c r="H36" s="34"/>
      <c r="I36" s="35"/>
      <c r="J36" s="36"/>
      <c r="K36" s="37"/>
      <c r="L36" s="34"/>
      <c r="M36" s="34"/>
      <c r="N36" s="35"/>
      <c r="O36" s="36"/>
    </row>
    <row r="37" spans="2:15" ht="41.25" customHeight="1" x14ac:dyDescent="0.25">
      <c r="B37" s="34"/>
      <c r="C37" s="34"/>
      <c r="D37" s="35"/>
      <c r="E37" s="36"/>
      <c r="F37" s="37"/>
      <c r="G37" s="34"/>
      <c r="H37" s="34"/>
      <c r="I37" s="35"/>
      <c r="J37" s="36"/>
      <c r="K37" s="37"/>
      <c r="L37" s="34"/>
      <c r="M37" s="34"/>
      <c r="N37" s="35"/>
      <c r="O37" s="36"/>
    </row>
    <row r="38" spans="2:15" ht="41.25" customHeight="1" x14ac:dyDescent="0.25">
      <c r="B38" s="34"/>
      <c r="C38" s="34"/>
      <c r="D38" s="35"/>
      <c r="E38" s="36"/>
      <c r="F38" s="37"/>
      <c r="G38" s="34"/>
      <c r="H38" s="34"/>
      <c r="I38" s="35"/>
      <c r="J38" s="36"/>
      <c r="K38" s="37"/>
      <c r="L38" s="34"/>
      <c r="M38" s="34"/>
      <c r="N38" s="35"/>
      <c r="O38" s="36"/>
    </row>
    <row r="39" spans="2:15" ht="41.25" customHeight="1" x14ac:dyDescent="0.25">
      <c r="B39" s="34"/>
      <c r="C39" s="34"/>
      <c r="D39" s="35"/>
      <c r="E39" s="36"/>
      <c r="F39" s="37"/>
      <c r="G39" s="34"/>
      <c r="H39" s="34"/>
      <c r="I39" s="35"/>
      <c r="J39" s="36"/>
      <c r="K39" s="37"/>
      <c r="L39" s="34"/>
      <c r="M39" s="34"/>
      <c r="N39" s="35"/>
      <c r="O39" s="36"/>
    </row>
    <row r="40" spans="2:15" ht="41.25" customHeight="1" x14ac:dyDescent="0.25">
      <c r="B40" s="34"/>
      <c r="C40" s="34"/>
      <c r="D40" s="35"/>
      <c r="E40" s="36"/>
      <c r="F40" s="37"/>
      <c r="G40" s="34"/>
      <c r="H40" s="34"/>
      <c r="I40" s="35"/>
      <c r="J40" s="36"/>
      <c r="K40" s="37"/>
      <c r="L40" s="34"/>
      <c r="M40" s="34"/>
      <c r="N40" s="35"/>
      <c r="O40" s="36"/>
    </row>
    <row r="41" spans="2:15" ht="41.25" customHeight="1" x14ac:dyDescent="0.25">
      <c r="B41" s="34"/>
      <c r="C41" s="34"/>
      <c r="D41" s="35"/>
      <c r="E41" s="36"/>
      <c r="F41" s="37"/>
      <c r="G41" s="34"/>
      <c r="H41" s="34"/>
      <c r="I41" s="35"/>
      <c r="J41" s="36"/>
      <c r="K41" s="37"/>
      <c r="L41" s="34"/>
      <c r="M41" s="34"/>
      <c r="N41" s="35"/>
      <c r="O41" s="36"/>
    </row>
    <row r="42" spans="2:15" ht="41.25" customHeight="1" x14ac:dyDescent="0.25">
      <c r="B42" s="34"/>
      <c r="C42" s="34"/>
      <c r="D42" s="35"/>
      <c r="E42" s="36"/>
      <c r="F42" s="37"/>
      <c r="G42" s="34"/>
      <c r="H42" s="34"/>
      <c r="I42" s="35"/>
      <c r="J42" s="36"/>
      <c r="K42" s="37"/>
      <c r="L42" s="34"/>
      <c r="M42" s="34"/>
      <c r="N42" s="35"/>
      <c r="O42" s="36"/>
    </row>
    <row r="43" spans="2:15" ht="41.25" customHeight="1" x14ac:dyDescent="0.25">
      <c r="B43" s="34"/>
      <c r="C43" s="34"/>
      <c r="D43" s="35"/>
      <c r="E43" s="36"/>
      <c r="F43" s="37"/>
      <c r="G43" s="34"/>
      <c r="H43" s="34"/>
      <c r="I43" s="35"/>
      <c r="J43" s="36"/>
      <c r="K43" s="37"/>
      <c r="L43" s="34"/>
      <c r="M43" s="34"/>
      <c r="N43" s="35"/>
      <c r="O43" s="36"/>
    </row>
    <row r="44" spans="2:15" ht="41.25" customHeight="1" x14ac:dyDescent="0.25">
      <c r="B44" s="34"/>
      <c r="C44" s="34"/>
      <c r="D44" s="35"/>
      <c r="E44" s="36"/>
      <c r="F44" s="37"/>
      <c r="G44" s="34"/>
      <c r="H44" s="34"/>
      <c r="I44" s="35"/>
      <c r="J44" s="36"/>
      <c r="K44" s="37"/>
      <c r="L44" s="34"/>
      <c r="M44" s="34"/>
      <c r="N44" s="35"/>
      <c r="O44" s="36"/>
    </row>
    <row r="45" spans="2:15" ht="41.25" customHeight="1" x14ac:dyDescent="0.25">
      <c r="B45" s="34"/>
      <c r="C45" s="34"/>
      <c r="D45" s="35"/>
      <c r="E45" s="36"/>
      <c r="F45" s="37"/>
      <c r="G45" s="34"/>
      <c r="H45" s="34"/>
      <c r="I45" s="35"/>
      <c r="J45" s="36"/>
      <c r="K45" s="37"/>
      <c r="L45" s="34"/>
      <c r="M45" s="34"/>
      <c r="N45" s="35"/>
      <c r="O45" s="36"/>
    </row>
    <row r="46" spans="2:15" ht="41.25" customHeight="1" x14ac:dyDescent="0.25">
      <c r="B46" s="34"/>
      <c r="C46" s="34"/>
      <c r="D46" s="35"/>
      <c r="E46" s="36"/>
      <c r="F46" s="37"/>
      <c r="G46" s="34"/>
      <c r="H46" s="34"/>
      <c r="I46" s="35"/>
      <c r="J46" s="36"/>
      <c r="K46" s="37"/>
      <c r="L46" s="34"/>
      <c r="M46" s="34"/>
      <c r="N46" s="35"/>
      <c r="O46" s="36"/>
    </row>
    <row r="47" spans="2:15" ht="41.25" customHeight="1" x14ac:dyDescent="0.25">
      <c r="B47" s="34"/>
      <c r="C47" s="34"/>
      <c r="D47" s="35"/>
      <c r="E47" s="36"/>
      <c r="F47" s="37"/>
      <c r="G47" s="34"/>
      <c r="H47" s="34"/>
      <c r="I47" s="35"/>
      <c r="J47" s="36"/>
      <c r="K47" s="37"/>
      <c r="L47" s="34"/>
      <c r="M47" s="34"/>
      <c r="N47" s="35"/>
      <c r="O47" s="36"/>
    </row>
    <row r="48" spans="2:15" ht="41.25" customHeight="1" x14ac:dyDescent="0.25">
      <c r="B48" s="34"/>
      <c r="C48" s="34"/>
      <c r="D48" s="35"/>
      <c r="E48" s="36"/>
      <c r="F48" s="37"/>
      <c r="G48" s="34"/>
      <c r="H48" s="34"/>
      <c r="I48" s="35"/>
      <c r="J48" s="36"/>
      <c r="K48" s="37"/>
      <c r="L48" s="34"/>
      <c r="M48" s="34"/>
      <c r="N48" s="35"/>
      <c r="O48" s="36"/>
    </row>
    <row r="49" spans="2:15" ht="41.25" customHeight="1" x14ac:dyDescent="0.25">
      <c r="B49" s="34"/>
      <c r="C49" s="34"/>
      <c r="D49" s="35"/>
      <c r="E49" s="36"/>
      <c r="F49" s="37"/>
      <c r="G49" s="34"/>
      <c r="H49" s="34"/>
      <c r="I49" s="35"/>
      <c r="J49" s="36"/>
      <c r="K49" s="37"/>
      <c r="L49" s="34"/>
      <c r="M49" s="34"/>
      <c r="N49" s="35"/>
      <c r="O49" s="36"/>
    </row>
    <row r="50" spans="2:15" ht="41.25" customHeight="1" x14ac:dyDescent="0.25">
      <c r="B50" s="34"/>
      <c r="C50" s="34"/>
      <c r="D50" s="35"/>
      <c r="E50" s="36"/>
      <c r="F50" s="37"/>
      <c r="G50" s="34"/>
      <c r="H50" s="34"/>
      <c r="I50" s="35"/>
      <c r="J50" s="36"/>
      <c r="K50" s="37"/>
      <c r="L50" s="34"/>
      <c r="M50" s="34"/>
      <c r="N50" s="35"/>
      <c r="O50" s="36"/>
    </row>
    <row r="51" spans="2:15" ht="41.25" customHeight="1" x14ac:dyDescent="0.25">
      <c r="B51" s="34"/>
      <c r="C51" s="34"/>
      <c r="D51" s="35"/>
      <c r="E51" s="36"/>
      <c r="F51" s="37"/>
      <c r="G51" s="34"/>
      <c r="H51" s="34"/>
      <c r="I51" s="35"/>
      <c r="J51" s="36"/>
      <c r="K51" s="37"/>
      <c r="L51" s="34"/>
      <c r="M51" s="34"/>
      <c r="N51" s="35"/>
      <c r="O51" s="36"/>
    </row>
    <row r="52" spans="2:15" ht="41.25" customHeight="1" x14ac:dyDescent="0.25">
      <c r="B52" s="34"/>
      <c r="C52" s="34"/>
      <c r="D52" s="35"/>
      <c r="E52" s="36"/>
      <c r="F52" s="37"/>
      <c r="G52" s="34"/>
      <c r="H52" s="34"/>
      <c r="I52" s="35"/>
      <c r="J52" s="36"/>
      <c r="K52" s="37"/>
      <c r="L52" s="34"/>
      <c r="M52" s="34"/>
      <c r="N52" s="35"/>
      <c r="O52" s="36"/>
    </row>
    <row r="53" spans="2:15" ht="41.25" customHeight="1" x14ac:dyDescent="0.25">
      <c r="B53" s="34"/>
      <c r="C53" s="34"/>
      <c r="D53" s="35"/>
      <c r="E53" s="36"/>
      <c r="F53" s="37"/>
      <c r="G53" s="34"/>
      <c r="H53" s="34"/>
      <c r="I53" s="35"/>
      <c r="J53" s="36"/>
      <c r="K53" s="37"/>
      <c r="L53" s="34"/>
      <c r="M53" s="34"/>
      <c r="N53" s="35"/>
      <c r="O53" s="36"/>
    </row>
    <row r="54" spans="2:15" ht="41.25" customHeight="1" x14ac:dyDescent="0.25">
      <c r="B54" s="34"/>
      <c r="C54" s="34"/>
      <c r="D54" s="35"/>
      <c r="E54" s="36"/>
      <c r="F54" s="37"/>
      <c r="G54" s="34"/>
      <c r="H54" s="34"/>
      <c r="I54" s="35"/>
      <c r="J54" s="36"/>
      <c r="K54" s="37"/>
      <c r="L54" s="34"/>
      <c r="M54" s="34"/>
      <c r="N54" s="35"/>
      <c r="O54" s="36"/>
    </row>
    <row r="55" spans="2:15" ht="41.25" customHeight="1" x14ac:dyDescent="0.25">
      <c r="B55" s="34"/>
      <c r="C55" s="34"/>
      <c r="D55" s="35"/>
      <c r="E55" s="36"/>
      <c r="F55" s="37"/>
      <c r="G55" s="34"/>
      <c r="H55" s="34"/>
      <c r="I55" s="35"/>
      <c r="J55" s="36"/>
      <c r="K55" s="37"/>
      <c r="L55" s="34"/>
      <c r="M55" s="34"/>
      <c r="N55" s="35"/>
      <c r="O55" s="36"/>
    </row>
    <row r="56" spans="2:15" ht="41.25" customHeight="1" x14ac:dyDescent="0.25">
      <c r="B56" s="34"/>
      <c r="C56" s="34"/>
      <c r="D56" s="35"/>
      <c r="E56" s="36"/>
      <c r="F56" s="37"/>
      <c r="G56" s="34"/>
      <c r="H56" s="34"/>
      <c r="I56" s="35"/>
      <c r="J56" s="36"/>
      <c r="K56" s="37"/>
      <c r="L56" s="34"/>
      <c r="M56" s="34"/>
      <c r="N56" s="35"/>
      <c r="O56" s="36"/>
    </row>
    <row r="57" spans="2:15" ht="41.25" customHeight="1" x14ac:dyDescent="0.25">
      <c r="B57" s="34"/>
      <c r="C57" s="34"/>
      <c r="D57" s="35"/>
      <c r="E57" s="36"/>
      <c r="F57" s="37"/>
      <c r="G57" s="34"/>
      <c r="H57" s="34"/>
      <c r="I57" s="35"/>
      <c r="J57" s="36"/>
      <c r="K57" s="37"/>
      <c r="L57" s="34"/>
      <c r="M57" s="34"/>
      <c r="N57" s="35"/>
      <c r="O57" s="36"/>
    </row>
    <row r="58" spans="2:15" ht="41.25" customHeight="1" x14ac:dyDescent="0.25">
      <c r="B58" s="34"/>
      <c r="C58" s="34"/>
      <c r="D58" s="35"/>
      <c r="E58" s="36"/>
      <c r="F58" s="37"/>
      <c r="G58" s="34"/>
      <c r="H58" s="34"/>
      <c r="I58" s="35"/>
      <c r="J58" s="36"/>
      <c r="K58" s="37"/>
      <c r="L58" s="34"/>
      <c r="M58" s="34"/>
      <c r="N58" s="35"/>
      <c r="O58" s="36"/>
    </row>
    <row r="59" spans="2:15" ht="41.25" customHeight="1" x14ac:dyDescent="0.25">
      <c r="B59" s="34"/>
      <c r="C59" s="34"/>
      <c r="D59" s="35"/>
      <c r="E59" s="36"/>
      <c r="F59" s="37"/>
      <c r="G59" s="34"/>
      <c r="H59" s="34"/>
      <c r="I59" s="35"/>
      <c r="J59" s="36"/>
      <c r="K59" s="37"/>
      <c r="L59" s="34"/>
      <c r="M59" s="34"/>
      <c r="N59" s="35"/>
      <c r="O59" s="36"/>
    </row>
    <row r="60" spans="2:15" ht="41.25" customHeight="1" x14ac:dyDescent="0.25">
      <c r="B60" s="34"/>
      <c r="C60" s="34"/>
      <c r="D60" s="35"/>
      <c r="E60" s="36"/>
      <c r="F60" s="37"/>
      <c r="G60" s="34"/>
      <c r="H60" s="34"/>
      <c r="I60" s="35"/>
      <c r="J60" s="36"/>
      <c r="K60" s="37"/>
      <c r="L60" s="34"/>
      <c r="M60" s="34"/>
      <c r="N60" s="35"/>
      <c r="O60" s="36"/>
    </row>
    <row r="61" spans="2:15" ht="41.25" customHeight="1" x14ac:dyDescent="0.25">
      <c r="B61" s="34"/>
      <c r="C61" s="34"/>
      <c r="D61" s="35"/>
      <c r="E61" s="36"/>
      <c r="F61" s="37"/>
      <c r="G61" s="34"/>
      <c r="H61" s="34"/>
      <c r="I61" s="35"/>
      <c r="J61" s="36"/>
      <c r="K61" s="37"/>
      <c r="L61" s="34"/>
      <c r="M61" s="34"/>
      <c r="N61" s="35"/>
      <c r="O61" s="36"/>
    </row>
    <row r="62" spans="2:15" ht="41.25" customHeight="1" x14ac:dyDescent="0.25">
      <c r="B62" s="34"/>
      <c r="C62" s="34"/>
      <c r="D62" s="35"/>
      <c r="E62" s="36"/>
      <c r="F62" s="37"/>
      <c r="G62" s="34"/>
      <c r="H62" s="34"/>
      <c r="I62" s="35"/>
      <c r="J62" s="36"/>
      <c r="K62" s="37"/>
      <c r="L62" s="34"/>
      <c r="M62" s="34"/>
      <c r="N62" s="35"/>
      <c r="O62" s="36"/>
    </row>
    <row r="63" spans="2:15" ht="41.25" customHeight="1" x14ac:dyDescent="0.25">
      <c r="B63" s="34"/>
      <c r="C63" s="34"/>
      <c r="D63" s="35"/>
      <c r="E63" s="36"/>
      <c r="F63" s="37"/>
      <c r="G63" s="34"/>
      <c r="H63" s="34"/>
      <c r="I63" s="35"/>
      <c r="J63" s="36"/>
      <c r="K63" s="37"/>
      <c r="L63" s="34"/>
      <c r="M63" s="34"/>
      <c r="N63" s="35"/>
      <c r="O63" s="36"/>
    </row>
    <row r="64" spans="2:15" ht="41.25" customHeight="1" x14ac:dyDescent="0.25">
      <c r="B64" s="34"/>
      <c r="C64" s="34"/>
      <c r="D64" s="35"/>
      <c r="E64" s="36"/>
      <c r="F64" s="37"/>
      <c r="G64" s="34"/>
      <c r="H64" s="34"/>
      <c r="I64" s="35"/>
      <c r="J64" s="36"/>
      <c r="K64" s="37"/>
      <c r="L64" s="34"/>
      <c r="M64" s="34"/>
      <c r="N64" s="35"/>
      <c r="O64" s="36"/>
    </row>
    <row r="65" spans="2:15" ht="41.25" customHeight="1" x14ac:dyDescent="0.25">
      <c r="B65" s="34"/>
      <c r="C65" s="34"/>
      <c r="D65" s="35"/>
      <c r="E65" s="36"/>
      <c r="F65" s="37"/>
      <c r="G65" s="34"/>
      <c r="H65" s="34"/>
      <c r="I65" s="35"/>
      <c r="J65" s="36"/>
      <c r="K65" s="37"/>
      <c r="L65" s="34"/>
      <c r="M65" s="34"/>
      <c r="N65" s="35"/>
      <c r="O65" s="36"/>
    </row>
    <row r="66" spans="2:15" ht="41.25" customHeight="1" x14ac:dyDescent="0.25">
      <c r="B66" s="34"/>
      <c r="C66" s="34"/>
      <c r="D66" s="35"/>
      <c r="E66" s="36"/>
      <c r="F66" s="37"/>
      <c r="G66" s="34"/>
      <c r="H66" s="34"/>
      <c r="I66" s="35"/>
      <c r="J66" s="36"/>
      <c r="K66" s="37"/>
      <c r="L66" s="34"/>
      <c r="M66" s="34"/>
      <c r="N66" s="35"/>
      <c r="O66" s="36"/>
    </row>
    <row r="67" spans="2:15" ht="41.25" customHeight="1" x14ac:dyDescent="0.25">
      <c r="B67" s="34"/>
      <c r="C67" s="34"/>
      <c r="D67" s="35"/>
      <c r="E67" s="36"/>
      <c r="F67" s="37"/>
      <c r="G67" s="34"/>
      <c r="H67" s="34"/>
      <c r="I67" s="35"/>
      <c r="J67" s="36"/>
      <c r="K67" s="37"/>
      <c r="L67" s="34"/>
      <c r="M67" s="34"/>
      <c r="N67" s="35"/>
      <c r="O67" s="36"/>
    </row>
    <row r="68" spans="2:15" ht="41.25" customHeight="1" x14ac:dyDescent="0.25">
      <c r="B68" s="34"/>
      <c r="C68" s="34"/>
      <c r="D68" s="35"/>
      <c r="E68" s="36"/>
      <c r="F68" s="37"/>
      <c r="G68" s="34"/>
      <c r="H68" s="34"/>
      <c r="I68" s="35"/>
      <c r="J68" s="36"/>
      <c r="K68" s="37"/>
      <c r="L68" s="34"/>
      <c r="M68" s="34"/>
      <c r="N68" s="35"/>
      <c r="O68" s="36"/>
    </row>
    <row r="69" spans="2:15" ht="41.25" customHeight="1" x14ac:dyDescent="0.25">
      <c r="B69" s="34"/>
      <c r="C69" s="34"/>
      <c r="D69" s="35"/>
      <c r="E69" s="36"/>
      <c r="F69" s="37"/>
      <c r="G69" s="34"/>
      <c r="H69" s="34"/>
      <c r="I69" s="35"/>
      <c r="J69" s="36"/>
      <c r="K69" s="37"/>
      <c r="L69" s="34"/>
      <c r="M69" s="34"/>
      <c r="N69" s="35"/>
      <c r="O69" s="36"/>
    </row>
    <row r="70" spans="2:15" ht="41.25" customHeight="1" x14ac:dyDescent="0.25">
      <c r="B70" s="34"/>
      <c r="C70" s="34"/>
      <c r="D70" s="35"/>
      <c r="E70" s="36"/>
      <c r="F70" s="37"/>
      <c r="G70" s="34"/>
      <c r="H70" s="34"/>
      <c r="I70" s="35"/>
      <c r="J70" s="36"/>
      <c r="K70" s="37"/>
      <c r="L70" s="34"/>
      <c r="M70" s="34"/>
      <c r="N70" s="35"/>
      <c r="O70" s="36"/>
    </row>
    <row r="71" spans="2:15" ht="41.25" customHeight="1" x14ac:dyDescent="0.25">
      <c r="B71" s="34"/>
      <c r="C71" s="34"/>
      <c r="D71" s="35"/>
      <c r="E71" s="36"/>
      <c r="F71" s="37"/>
      <c r="G71" s="34"/>
      <c r="H71" s="34"/>
      <c r="I71" s="35"/>
      <c r="J71" s="36"/>
      <c r="K71" s="37"/>
      <c r="L71" s="34"/>
      <c r="M71" s="34"/>
      <c r="N71" s="35"/>
      <c r="O71" s="36"/>
    </row>
    <row r="72" spans="2:15" ht="41.25" customHeight="1" x14ac:dyDescent="0.25">
      <c r="B72" s="34"/>
      <c r="C72" s="34"/>
      <c r="D72" s="35"/>
      <c r="E72" s="36"/>
      <c r="F72" s="37"/>
      <c r="G72" s="34"/>
      <c r="H72" s="34"/>
      <c r="I72" s="35"/>
      <c r="J72" s="36"/>
      <c r="K72" s="37"/>
      <c r="L72" s="34"/>
      <c r="M72" s="34"/>
      <c r="N72" s="35"/>
      <c r="O72" s="36"/>
    </row>
    <row r="73" spans="2:15" ht="41.25" customHeight="1" x14ac:dyDescent="0.25">
      <c r="B73" s="34"/>
      <c r="C73" s="34"/>
      <c r="D73" s="35"/>
      <c r="E73" s="36"/>
      <c r="F73" s="37"/>
      <c r="G73" s="34"/>
      <c r="H73" s="34"/>
      <c r="I73" s="35"/>
      <c r="J73" s="36"/>
      <c r="K73" s="37"/>
      <c r="L73" s="34"/>
      <c r="M73" s="34"/>
      <c r="N73" s="35"/>
      <c r="O73" s="36"/>
    </row>
    <row r="74" spans="2:15" ht="41.25" customHeight="1" x14ac:dyDescent="0.25">
      <c r="B74" s="34"/>
      <c r="C74" s="34"/>
      <c r="D74" s="35"/>
      <c r="E74" s="36"/>
      <c r="F74" s="37"/>
      <c r="G74" s="34"/>
      <c r="H74" s="34"/>
      <c r="I74" s="35"/>
      <c r="J74" s="36"/>
      <c r="K74" s="37"/>
      <c r="L74" s="34"/>
      <c r="M74" s="34"/>
      <c r="N74" s="35"/>
      <c r="O74" s="36"/>
    </row>
    <row r="75" spans="2:15" ht="41.25" customHeight="1" x14ac:dyDescent="0.25">
      <c r="B75" s="34"/>
      <c r="C75" s="34"/>
      <c r="D75" s="35"/>
      <c r="E75" s="36"/>
      <c r="F75" s="37"/>
      <c r="G75" s="34"/>
      <c r="H75" s="34"/>
      <c r="I75" s="35"/>
      <c r="J75" s="36"/>
      <c r="K75" s="37"/>
      <c r="L75" s="34"/>
      <c r="M75" s="34"/>
      <c r="N75" s="35"/>
      <c r="O75" s="36"/>
    </row>
    <row r="76" spans="2:15" ht="41.25" customHeight="1" x14ac:dyDescent="0.25">
      <c r="B76" s="34"/>
      <c r="C76" s="34"/>
      <c r="D76" s="35"/>
      <c r="E76" s="36"/>
      <c r="F76" s="37"/>
      <c r="G76" s="34"/>
      <c r="H76" s="34"/>
      <c r="I76" s="35"/>
      <c r="J76" s="36"/>
      <c r="K76" s="37"/>
      <c r="L76" s="34"/>
      <c r="M76" s="34"/>
      <c r="N76" s="35"/>
      <c r="O76" s="36"/>
    </row>
    <row r="77" spans="2:15" ht="41.25" customHeight="1" x14ac:dyDescent="0.25">
      <c r="B77" s="34"/>
      <c r="C77" s="34"/>
      <c r="D77" s="35"/>
      <c r="E77" s="36"/>
      <c r="F77" s="37"/>
      <c r="G77" s="34"/>
      <c r="H77" s="34"/>
      <c r="I77" s="35"/>
      <c r="J77" s="36"/>
      <c r="K77" s="37"/>
      <c r="L77" s="34"/>
      <c r="M77" s="34"/>
      <c r="N77" s="35"/>
      <c r="O77" s="36"/>
    </row>
    <row r="78" spans="2:15" ht="41.25" customHeight="1" x14ac:dyDescent="0.25">
      <c r="B78" s="34"/>
      <c r="C78" s="34"/>
      <c r="D78" s="35"/>
      <c r="E78" s="36"/>
      <c r="F78" s="37"/>
      <c r="G78" s="34"/>
      <c r="H78" s="34"/>
      <c r="I78" s="35"/>
      <c r="J78" s="36"/>
      <c r="K78" s="37"/>
      <c r="L78" s="34"/>
      <c r="M78" s="34"/>
      <c r="N78" s="35"/>
      <c r="O78" s="36"/>
    </row>
    <row r="79" spans="2:15" ht="41.25" customHeight="1" x14ac:dyDescent="0.25">
      <c r="B79" s="34"/>
      <c r="C79" s="34"/>
      <c r="D79" s="35"/>
      <c r="E79" s="36"/>
      <c r="F79" s="37"/>
      <c r="G79" s="34"/>
      <c r="H79" s="34"/>
      <c r="I79" s="35"/>
      <c r="J79" s="36"/>
      <c r="K79" s="37"/>
      <c r="L79" s="34"/>
      <c r="M79" s="34"/>
      <c r="N79" s="35"/>
      <c r="O79" s="36"/>
    </row>
    <row r="80" spans="2:15" ht="41.25" customHeight="1" x14ac:dyDescent="0.25">
      <c r="B80" s="34"/>
      <c r="C80" s="34"/>
      <c r="D80" s="35"/>
      <c r="E80" s="36"/>
      <c r="F80" s="37"/>
      <c r="G80" s="34"/>
      <c r="H80" s="34"/>
      <c r="I80" s="35"/>
      <c r="J80" s="36"/>
      <c r="K80" s="37"/>
      <c r="L80" s="34"/>
      <c r="M80" s="34"/>
      <c r="N80" s="35"/>
      <c r="O80" s="36"/>
    </row>
    <row r="81" spans="2:15" ht="41.25" customHeight="1" x14ac:dyDescent="0.25">
      <c r="B81" s="34"/>
      <c r="C81" s="34"/>
      <c r="D81" s="35"/>
      <c r="E81" s="36"/>
      <c r="F81" s="37"/>
      <c r="G81" s="34"/>
      <c r="H81" s="34"/>
      <c r="I81" s="35"/>
      <c r="J81" s="36"/>
      <c r="K81" s="37"/>
      <c r="L81" s="34"/>
      <c r="M81" s="34"/>
      <c r="N81" s="35"/>
      <c r="O81" s="36"/>
    </row>
    <row r="82" spans="2:15" ht="41.25" customHeight="1" x14ac:dyDescent="0.25">
      <c r="B82" s="34"/>
      <c r="C82" s="34"/>
      <c r="D82" s="35"/>
      <c r="E82" s="36"/>
      <c r="F82" s="37"/>
      <c r="G82" s="34"/>
      <c r="H82" s="34"/>
      <c r="I82" s="35"/>
      <c r="J82" s="36"/>
      <c r="K82" s="37"/>
      <c r="L82" s="34"/>
      <c r="M82" s="34"/>
      <c r="N82" s="35"/>
      <c r="O82" s="36"/>
    </row>
    <row r="83" spans="2:15" ht="41.25" customHeight="1" x14ac:dyDescent="0.25">
      <c r="B83" s="34"/>
      <c r="C83" s="34"/>
      <c r="D83" s="35"/>
      <c r="E83" s="36"/>
      <c r="F83" s="37"/>
      <c r="G83" s="34"/>
      <c r="H83" s="34"/>
      <c r="I83" s="35"/>
      <c r="J83" s="36"/>
      <c r="K83" s="37"/>
      <c r="L83" s="34"/>
      <c r="M83" s="34"/>
      <c r="N83" s="35"/>
      <c r="O83" s="36"/>
    </row>
    <row r="84" spans="2:15" ht="41.25" customHeight="1" x14ac:dyDescent="0.25">
      <c r="B84" s="34"/>
      <c r="C84" s="34"/>
      <c r="D84" s="35"/>
      <c r="E84" s="36"/>
      <c r="F84" s="37"/>
      <c r="G84" s="34"/>
      <c r="H84" s="34"/>
      <c r="I84" s="35"/>
      <c r="J84" s="36"/>
      <c r="K84" s="37"/>
      <c r="L84" s="34"/>
      <c r="M84" s="34"/>
      <c r="N84" s="35"/>
      <c r="O84" s="36"/>
    </row>
    <row r="85" spans="2:15" ht="41.25" customHeight="1" x14ac:dyDescent="0.25">
      <c r="B85" s="34"/>
      <c r="C85" s="34"/>
      <c r="D85" s="35"/>
      <c r="E85" s="36"/>
      <c r="F85" s="37"/>
      <c r="G85" s="34"/>
      <c r="H85" s="34"/>
      <c r="I85" s="35"/>
      <c r="J85" s="36"/>
      <c r="K85" s="37"/>
      <c r="L85" s="34"/>
      <c r="M85" s="34"/>
      <c r="N85" s="35"/>
      <c r="O85" s="36"/>
    </row>
    <row r="86" spans="2:15" ht="41.25" customHeight="1" x14ac:dyDescent="0.25">
      <c r="B86" s="34"/>
      <c r="C86" s="34"/>
      <c r="D86" s="35"/>
      <c r="E86" s="36"/>
      <c r="F86" s="37"/>
      <c r="G86" s="34"/>
      <c r="H86" s="34"/>
      <c r="I86" s="35"/>
      <c r="J86" s="36"/>
      <c r="K86" s="37"/>
      <c r="L86" s="34"/>
      <c r="M86" s="34"/>
      <c r="N86" s="35"/>
      <c r="O86" s="36"/>
    </row>
    <row r="87" spans="2:15" ht="41.25" customHeight="1" x14ac:dyDescent="0.25">
      <c r="B87" s="34"/>
      <c r="C87" s="34"/>
      <c r="D87" s="35"/>
      <c r="E87" s="36"/>
      <c r="F87" s="37"/>
      <c r="G87" s="34"/>
      <c r="H87" s="34"/>
      <c r="I87" s="35"/>
      <c r="J87" s="36"/>
      <c r="K87" s="37"/>
      <c r="L87" s="34"/>
      <c r="M87" s="34"/>
      <c r="N87" s="35"/>
      <c r="O87" s="36"/>
    </row>
    <row r="88" spans="2:15" ht="41.25" customHeight="1" x14ac:dyDescent="0.25">
      <c r="B88" s="34"/>
      <c r="C88" s="34"/>
      <c r="D88" s="35"/>
      <c r="E88" s="36"/>
      <c r="F88" s="37"/>
      <c r="G88" s="34"/>
      <c r="H88" s="34"/>
      <c r="I88" s="35"/>
      <c r="J88" s="36"/>
      <c r="K88" s="37"/>
      <c r="L88" s="34"/>
      <c r="M88" s="34"/>
      <c r="N88" s="35"/>
      <c r="O88" s="36"/>
    </row>
    <row r="89" spans="2:15" ht="41.25" customHeight="1" x14ac:dyDescent="0.25">
      <c r="B89" s="34"/>
      <c r="C89" s="34"/>
      <c r="D89" s="35"/>
      <c r="E89" s="36"/>
      <c r="F89" s="37"/>
      <c r="G89" s="34"/>
      <c r="H89" s="34"/>
      <c r="I89" s="35"/>
      <c r="J89" s="36"/>
      <c r="K89" s="37"/>
      <c r="L89" s="34"/>
      <c r="M89" s="34"/>
      <c r="N89" s="35"/>
      <c r="O89" s="36"/>
    </row>
    <row r="90" spans="2:15" ht="41.25" customHeight="1" x14ac:dyDescent="0.25">
      <c r="B90" s="34"/>
      <c r="C90" s="34"/>
      <c r="D90" s="35"/>
      <c r="E90" s="36"/>
      <c r="F90" s="37"/>
      <c r="G90" s="34"/>
      <c r="H90" s="34"/>
      <c r="I90" s="35"/>
      <c r="J90" s="36"/>
      <c r="K90" s="37"/>
      <c r="L90" s="34"/>
      <c r="M90" s="34"/>
      <c r="N90" s="35"/>
      <c r="O90" s="36"/>
    </row>
    <row r="91" spans="2:15" ht="41.25" customHeight="1" x14ac:dyDescent="0.25">
      <c r="B91" s="34"/>
      <c r="C91" s="34"/>
      <c r="D91" s="35"/>
      <c r="E91" s="36"/>
      <c r="F91" s="37"/>
      <c r="G91" s="34"/>
      <c r="H91" s="34"/>
      <c r="I91" s="35"/>
      <c r="J91" s="36"/>
      <c r="K91" s="37"/>
      <c r="L91" s="34"/>
      <c r="M91" s="34"/>
      <c r="N91" s="35"/>
      <c r="O91" s="36"/>
    </row>
    <row r="92" spans="2:15" ht="41.25" customHeight="1" x14ac:dyDescent="0.25">
      <c r="B92" s="34"/>
      <c r="C92" s="34"/>
      <c r="D92" s="35"/>
      <c r="E92" s="36"/>
      <c r="F92" s="37"/>
      <c r="G92" s="34"/>
      <c r="H92" s="34"/>
      <c r="I92" s="35"/>
      <c r="J92" s="36"/>
      <c r="K92" s="37"/>
      <c r="L92" s="34"/>
      <c r="M92" s="34"/>
      <c r="N92" s="35"/>
      <c r="O92" s="36"/>
    </row>
    <row r="93" spans="2:15" ht="41.25" customHeight="1" x14ac:dyDescent="0.25">
      <c r="B93" s="34"/>
      <c r="C93" s="34"/>
      <c r="D93" s="35"/>
      <c r="E93" s="36"/>
      <c r="F93" s="37"/>
      <c r="G93" s="34"/>
      <c r="H93" s="34"/>
      <c r="I93" s="35"/>
      <c r="J93" s="36"/>
      <c r="K93" s="37"/>
      <c r="L93" s="34"/>
      <c r="M93" s="34"/>
      <c r="N93" s="35"/>
      <c r="O93" s="36"/>
    </row>
    <row r="94" spans="2:15" ht="41.25" customHeight="1" x14ac:dyDescent="0.25">
      <c r="B94" s="34"/>
      <c r="C94" s="34"/>
      <c r="D94" s="35"/>
      <c r="E94" s="36"/>
      <c r="F94" s="37"/>
      <c r="G94" s="34"/>
      <c r="H94" s="34"/>
      <c r="I94" s="35"/>
      <c r="J94" s="36"/>
      <c r="K94" s="37"/>
      <c r="L94" s="34"/>
      <c r="M94" s="34"/>
      <c r="N94" s="35"/>
      <c r="O94" s="36"/>
    </row>
    <row r="95" spans="2:15" ht="41.25" customHeight="1" x14ac:dyDescent="0.25">
      <c r="B95" s="34"/>
      <c r="C95" s="34"/>
      <c r="D95" s="35"/>
      <c r="E95" s="36"/>
      <c r="F95" s="37"/>
      <c r="G95" s="34"/>
      <c r="H95" s="34"/>
      <c r="I95" s="35"/>
      <c r="J95" s="36"/>
      <c r="K95" s="37"/>
      <c r="L95" s="34"/>
      <c r="M95" s="34"/>
      <c r="N95" s="35"/>
      <c r="O95" s="36"/>
    </row>
    <row r="96" spans="2:15" ht="41.25" customHeight="1" x14ac:dyDescent="0.25">
      <c r="B96" s="34"/>
      <c r="C96" s="34"/>
      <c r="D96" s="35"/>
      <c r="E96" s="36"/>
      <c r="F96" s="37"/>
      <c r="G96" s="34"/>
      <c r="H96" s="34"/>
      <c r="I96" s="35"/>
      <c r="J96" s="36"/>
      <c r="K96" s="37"/>
      <c r="L96" s="34"/>
      <c r="M96" s="34"/>
      <c r="N96" s="35"/>
      <c r="O96" s="36"/>
    </row>
    <row r="97" spans="2:15" ht="41.25" customHeight="1" x14ac:dyDescent="0.25">
      <c r="B97" s="34"/>
      <c r="C97" s="34"/>
      <c r="D97" s="35"/>
      <c r="E97" s="36"/>
      <c r="F97" s="37"/>
      <c r="G97" s="34"/>
      <c r="H97" s="34"/>
      <c r="I97" s="35"/>
      <c r="J97" s="36"/>
      <c r="K97" s="37"/>
      <c r="L97" s="34"/>
      <c r="M97" s="34"/>
      <c r="N97" s="35"/>
      <c r="O97" s="36"/>
    </row>
    <row r="98" spans="2:15" ht="41.25" customHeight="1" x14ac:dyDescent="0.25">
      <c r="B98" s="34"/>
      <c r="C98" s="34"/>
      <c r="D98" s="35"/>
      <c r="E98" s="36"/>
      <c r="F98" s="37"/>
      <c r="G98" s="34"/>
      <c r="H98" s="34"/>
      <c r="I98" s="35"/>
      <c r="J98" s="36"/>
      <c r="K98" s="37"/>
      <c r="L98" s="34"/>
      <c r="M98" s="34"/>
      <c r="N98" s="35"/>
      <c r="O98" s="36"/>
    </row>
    <row r="99" spans="2:15" ht="41.25" customHeight="1" x14ac:dyDescent="0.25">
      <c r="B99" s="34"/>
      <c r="C99" s="34"/>
      <c r="D99" s="35"/>
      <c r="E99" s="36"/>
      <c r="F99" s="37"/>
      <c r="G99" s="34"/>
      <c r="H99" s="34"/>
      <c r="I99" s="35"/>
      <c r="J99" s="36"/>
      <c r="K99" s="37"/>
      <c r="L99" s="34"/>
      <c r="M99" s="34"/>
      <c r="N99" s="35"/>
      <c r="O99" s="36"/>
    </row>
    <row r="100" spans="2:15" ht="41.25" customHeight="1" x14ac:dyDescent="0.25">
      <c r="B100" s="34"/>
      <c r="C100" s="34"/>
      <c r="D100" s="35"/>
      <c r="E100" s="36"/>
      <c r="F100" s="37"/>
      <c r="G100" s="34"/>
      <c r="H100" s="34"/>
      <c r="I100" s="35"/>
      <c r="J100" s="36"/>
      <c r="K100" s="37"/>
      <c r="L100" s="34"/>
      <c r="M100" s="34"/>
      <c r="N100" s="35"/>
      <c r="O100" s="36"/>
    </row>
    <row r="101" spans="2:15" ht="41.25" customHeight="1" x14ac:dyDescent="0.25">
      <c r="B101" s="34"/>
      <c r="C101" s="34"/>
      <c r="D101" s="35"/>
      <c r="E101" s="36"/>
      <c r="F101" s="37"/>
      <c r="G101" s="34"/>
      <c r="H101" s="34"/>
      <c r="I101" s="35"/>
      <c r="J101" s="36"/>
      <c r="K101" s="37"/>
      <c r="L101" s="34"/>
      <c r="M101" s="34"/>
      <c r="N101" s="35"/>
      <c r="O101" s="36"/>
    </row>
    <row r="102" spans="2:15" ht="41.25" customHeight="1" x14ac:dyDescent="0.25">
      <c r="B102" s="34"/>
      <c r="C102" s="34"/>
      <c r="D102" s="35"/>
      <c r="E102" s="36"/>
      <c r="F102" s="37"/>
      <c r="G102" s="34"/>
      <c r="H102" s="34"/>
      <c r="I102" s="35"/>
      <c r="J102" s="36"/>
      <c r="K102" s="37"/>
      <c r="L102" s="34"/>
      <c r="M102" s="34"/>
      <c r="N102" s="35"/>
      <c r="O102" s="36"/>
    </row>
    <row r="103" spans="2:15" ht="41.25" customHeight="1" x14ac:dyDescent="0.25">
      <c r="B103" s="34"/>
      <c r="C103" s="34"/>
      <c r="D103" s="35"/>
      <c r="E103" s="36"/>
      <c r="F103" s="37"/>
      <c r="G103" s="34"/>
      <c r="H103" s="34"/>
      <c r="I103" s="35"/>
      <c r="J103" s="36"/>
      <c r="K103" s="37"/>
      <c r="L103" s="34"/>
      <c r="M103" s="34"/>
      <c r="N103" s="35"/>
      <c r="O103" s="36"/>
    </row>
    <row r="104" spans="2:15" ht="41.25" customHeight="1" x14ac:dyDescent="0.25">
      <c r="B104" s="34"/>
      <c r="C104" s="34"/>
      <c r="D104" s="35"/>
      <c r="E104" s="36"/>
      <c r="F104" s="37"/>
      <c r="G104" s="34"/>
      <c r="H104" s="34"/>
      <c r="I104" s="35"/>
      <c r="J104" s="36"/>
      <c r="K104" s="37"/>
      <c r="L104" s="34"/>
      <c r="M104" s="34"/>
      <c r="N104" s="35"/>
      <c r="O104" s="36"/>
    </row>
    <row r="105" spans="2:15" ht="41.25" customHeight="1" x14ac:dyDescent="0.25">
      <c r="B105" s="34"/>
      <c r="C105" s="34"/>
      <c r="D105" s="35"/>
      <c r="E105" s="36"/>
      <c r="F105" s="37"/>
      <c r="G105" s="34"/>
      <c r="H105" s="34"/>
      <c r="I105" s="35"/>
      <c r="J105" s="36"/>
      <c r="K105" s="37"/>
      <c r="L105" s="34"/>
      <c r="M105" s="34"/>
      <c r="N105" s="35"/>
      <c r="O105" s="36"/>
    </row>
    <row r="106" spans="2:15" ht="41.25" customHeight="1" x14ac:dyDescent="0.25">
      <c r="B106" s="34"/>
      <c r="C106" s="34"/>
      <c r="D106" s="35"/>
      <c r="E106" s="36"/>
      <c r="F106" s="37"/>
      <c r="G106" s="34"/>
      <c r="H106" s="34"/>
      <c r="I106" s="35"/>
      <c r="J106" s="36"/>
      <c r="K106" s="37"/>
      <c r="L106" s="34"/>
      <c r="M106" s="34"/>
      <c r="N106" s="35"/>
      <c r="O106" s="36"/>
    </row>
    <row r="107" spans="2:15" ht="41.25" customHeight="1" x14ac:dyDescent="0.25">
      <c r="B107" s="34"/>
      <c r="C107" s="34"/>
      <c r="D107" s="35"/>
      <c r="E107" s="36"/>
      <c r="F107" s="37"/>
      <c r="G107" s="34"/>
      <c r="H107" s="34"/>
      <c r="I107" s="35"/>
      <c r="J107" s="36"/>
      <c r="K107" s="37"/>
      <c r="L107" s="34"/>
      <c r="M107" s="34"/>
      <c r="N107" s="35"/>
      <c r="O107" s="36"/>
    </row>
    <row r="108" spans="2:15" ht="41.25" customHeight="1" x14ac:dyDescent="0.25">
      <c r="B108" s="34"/>
      <c r="C108" s="34"/>
      <c r="D108" s="35"/>
      <c r="E108" s="36"/>
      <c r="F108" s="37"/>
      <c r="G108" s="34"/>
      <c r="H108" s="34"/>
      <c r="I108" s="35"/>
      <c r="J108" s="36"/>
      <c r="K108" s="37"/>
      <c r="L108" s="34"/>
      <c r="M108" s="34"/>
      <c r="N108" s="35"/>
      <c r="O108" s="36"/>
    </row>
    <row r="109" spans="2:15" ht="41.25" customHeight="1" x14ac:dyDescent="0.25">
      <c r="B109" s="34"/>
      <c r="C109" s="34"/>
      <c r="D109" s="35"/>
      <c r="E109" s="36"/>
      <c r="F109" s="37"/>
      <c r="G109" s="34"/>
      <c r="H109" s="34"/>
      <c r="I109" s="35"/>
      <c r="J109" s="36"/>
      <c r="K109" s="37"/>
      <c r="L109" s="34"/>
      <c r="M109" s="34"/>
      <c r="N109" s="35"/>
      <c r="O109" s="36"/>
    </row>
    <row r="110" spans="2:15" ht="41.25" customHeight="1" x14ac:dyDescent="0.25">
      <c r="B110" s="34"/>
      <c r="C110" s="34"/>
      <c r="D110" s="35"/>
      <c r="E110" s="36"/>
      <c r="F110" s="37"/>
      <c r="G110" s="34"/>
      <c r="H110" s="34"/>
      <c r="I110" s="35"/>
      <c r="J110" s="36"/>
      <c r="K110" s="37"/>
      <c r="L110" s="34"/>
      <c r="M110" s="34"/>
      <c r="N110" s="35"/>
      <c r="O110" s="36"/>
    </row>
    <row r="111" spans="2:15" ht="41.25" customHeight="1" x14ac:dyDescent="0.25">
      <c r="B111" s="34"/>
      <c r="C111" s="34"/>
      <c r="D111" s="35"/>
      <c r="E111" s="36"/>
      <c r="F111" s="37"/>
      <c r="G111" s="34"/>
      <c r="H111" s="34"/>
      <c r="I111" s="35"/>
      <c r="J111" s="36"/>
      <c r="K111" s="37"/>
      <c r="L111" s="34"/>
      <c r="M111" s="34"/>
      <c r="N111" s="35"/>
      <c r="O111" s="36"/>
    </row>
    <row r="112" spans="2:15" ht="41.25" customHeight="1" x14ac:dyDescent="0.25">
      <c r="B112" s="34"/>
      <c r="C112" s="34"/>
      <c r="D112" s="35"/>
      <c r="E112" s="36"/>
      <c r="F112" s="37"/>
      <c r="G112" s="34"/>
      <c r="H112" s="34"/>
      <c r="I112" s="35"/>
      <c r="J112" s="36"/>
      <c r="K112" s="37"/>
      <c r="L112" s="34"/>
      <c r="M112" s="34"/>
      <c r="N112" s="35"/>
      <c r="O112" s="36"/>
    </row>
    <row r="113" spans="2:15" ht="41.25" customHeight="1" x14ac:dyDescent="0.25">
      <c r="B113" s="34"/>
      <c r="C113" s="34"/>
      <c r="D113" s="35"/>
      <c r="E113" s="36"/>
      <c r="F113" s="37"/>
      <c r="G113" s="34"/>
      <c r="H113" s="34"/>
      <c r="I113" s="35"/>
      <c r="J113" s="36"/>
      <c r="K113" s="37"/>
      <c r="L113" s="34"/>
      <c r="M113" s="34"/>
      <c r="N113" s="35"/>
      <c r="O113" s="36"/>
    </row>
    <row r="114" spans="2:15" ht="41.25" customHeight="1" x14ac:dyDescent="0.25">
      <c r="B114" s="34"/>
      <c r="C114" s="34"/>
      <c r="D114" s="35"/>
      <c r="E114" s="36"/>
      <c r="F114" s="37"/>
      <c r="G114" s="34"/>
      <c r="H114" s="34"/>
      <c r="I114" s="35"/>
      <c r="J114" s="36"/>
      <c r="K114" s="37"/>
      <c r="L114" s="34"/>
      <c r="M114" s="34"/>
      <c r="N114" s="35"/>
      <c r="O114" s="36"/>
    </row>
    <row r="115" spans="2:15" ht="41.25" customHeight="1" x14ac:dyDescent="0.25">
      <c r="B115" s="34"/>
      <c r="C115" s="34"/>
      <c r="D115" s="35"/>
      <c r="E115" s="36"/>
      <c r="F115" s="37"/>
      <c r="G115" s="34"/>
      <c r="H115" s="34"/>
      <c r="I115" s="35"/>
      <c r="J115" s="36"/>
      <c r="K115" s="37"/>
      <c r="L115" s="34"/>
      <c r="M115" s="34"/>
      <c r="N115" s="35"/>
      <c r="O115" s="36"/>
    </row>
    <row r="116" spans="2:15" ht="41.25" customHeight="1" x14ac:dyDescent="0.25">
      <c r="B116" s="34"/>
      <c r="C116" s="34"/>
      <c r="D116" s="35"/>
      <c r="E116" s="36"/>
      <c r="F116" s="37"/>
      <c r="G116" s="34"/>
      <c r="H116" s="34"/>
      <c r="I116" s="35"/>
      <c r="J116" s="36"/>
      <c r="K116" s="37"/>
      <c r="L116" s="34"/>
      <c r="M116" s="34"/>
      <c r="N116" s="35"/>
      <c r="O116" s="36"/>
    </row>
    <row r="117" spans="2:15" ht="41.25" customHeight="1" x14ac:dyDescent="0.25">
      <c r="B117" s="34"/>
      <c r="C117" s="34"/>
      <c r="D117" s="35"/>
      <c r="E117" s="36"/>
      <c r="F117" s="37"/>
      <c r="G117" s="34"/>
      <c r="H117" s="34"/>
      <c r="I117" s="35"/>
      <c r="J117" s="36"/>
      <c r="K117" s="37"/>
      <c r="L117" s="34"/>
      <c r="M117" s="34"/>
      <c r="N117" s="35"/>
      <c r="O117" s="36"/>
    </row>
    <row r="118" spans="2:15" ht="41.25" customHeight="1" x14ac:dyDescent="0.25">
      <c r="B118" s="34"/>
      <c r="C118" s="34"/>
      <c r="D118" s="35"/>
      <c r="E118" s="36"/>
      <c r="F118" s="37"/>
      <c r="G118" s="34"/>
      <c r="H118" s="34"/>
      <c r="I118" s="35"/>
      <c r="J118" s="36"/>
      <c r="K118" s="37"/>
      <c r="L118" s="34"/>
      <c r="M118" s="34"/>
      <c r="N118" s="35"/>
      <c r="O118" s="36"/>
    </row>
    <row r="119" spans="2:15" ht="41.25" customHeight="1" x14ac:dyDescent="0.25">
      <c r="B119" s="34"/>
      <c r="C119" s="34"/>
      <c r="D119" s="35"/>
      <c r="E119" s="36"/>
      <c r="F119" s="37"/>
      <c r="G119" s="34"/>
      <c r="H119" s="34"/>
      <c r="I119" s="35"/>
      <c r="J119" s="36"/>
      <c r="K119" s="37"/>
      <c r="L119" s="34"/>
      <c r="M119" s="34"/>
      <c r="N119" s="35"/>
      <c r="O119" s="36"/>
    </row>
    <row r="120" spans="2:15" ht="41.25" customHeight="1" x14ac:dyDescent="0.25">
      <c r="B120" s="34"/>
      <c r="C120" s="34"/>
      <c r="D120" s="35"/>
      <c r="E120" s="36"/>
      <c r="F120" s="37"/>
      <c r="G120" s="34"/>
      <c r="H120" s="34"/>
      <c r="I120" s="35"/>
      <c r="J120" s="36"/>
      <c r="K120" s="37"/>
      <c r="L120" s="34"/>
      <c r="M120" s="34"/>
      <c r="N120" s="35"/>
      <c r="O120" s="36"/>
    </row>
    <row r="121" spans="2:15" ht="41.25" customHeight="1" x14ac:dyDescent="0.25">
      <c r="B121" s="34"/>
      <c r="C121" s="34"/>
      <c r="D121" s="35"/>
      <c r="E121" s="36"/>
      <c r="F121" s="37"/>
      <c r="G121" s="34"/>
      <c r="H121" s="34"/>
      <c r="I121" s="35"/>
      <c r="J121" s="36"/>
      <c r="K121" s="37"/>
      <c r="L121" s="34"/>
      <c r="M121" s="34"/>
      <c r="N121" s="35"/>
      <c r="O121" s="36"/>
    </row>
    <row r="122" spans="2:15" ht="41.25" customHeight="1" x14ac:dyDescent="0.25">
      <c r="B122" s="34"/>
      <c r="C122" s="34"/>
      <c r="D122" s="35"/>
      <c r="E122" s="36"/>
      <c r="F122" s="37"/>
      <c r="G122" s="34"/>
      <c r="H122" s="34"/>
      <c r="I122" s="35"/>
      <c r="J122" s="36"/>
      <c r="K122" s="37"/>
      <c r="L122" s="34"/>
      <c r="M122" s="34"/>
      <c r="N122" s="35"/>
      <c r="O122" s="36"/>
    </row>
    <row r="123" spans="2:15" ht="41.25" customHeight="1" x14ac:dyDescent="0.25">
      <c r="B123" s="34"/>
      <c r="C123" s="34"/>
      <c r="D123" s="35"/>
      <c r="E123" s="36"/>
      <c r="F123" s="37"/>
      <c r="G123" s="34"/>
      <c r="H123" s="34"/>
      <c r="I123" s="35"/>
      <c r="J123" s="36"/>
      <c r="K123" s="37"/>
      <c r="L123" s="34"/>
      <c r="M123" s="34"/>
      <c r="N123" s="35"/>
      <c r="O123" s="36"/>
    </row>
    <row r="124" spans="2:15" ht="41.25" customHeight="1" x14ac:dyDescent="0.25">
      <c r="B124" s="34"/>
      <c r="C124" s="34"/>
      <c r="D124" s="35"/>
      <c r="E124" s="36"/>
      <c r="F124" s="37"/>
      <c r="G124" s="34"/>
      <c r="H124" s="34"/>
      <c r="I124" s="35"/>
      <c r="J124" s="36"/>
      <c r="K124" s="37"/>
      <c r="L124" s="34"/>
      <c r="M124" s="34"/>
      <c r="N124" s="35"/>
      <c r="O124" s="36"/>
    </row>
    <row r="125" spans="2:15" ht="41.25" customHeight="1" x14ac:dyDescent="0.25">
      <c r="B125" s="34"/>
      <c r="C125" s="34"/>
      <c r="D125" s="35"/>
      <c r="E125" s="36"/>
      <c r="F125" s="37"/>
      <c r="G125" s="34"/>
      <c r="H125" s="34"/>
      <c r="I125" s="35"/>
      <c r="J125" s="36"/>
      <c r="K125" s="37"/>
      <c r="L125" s="34"/>
      <c r="M125" s="34"/>
      <c r="N125" s="35"/>
      <c r="O125" s="36"/>
    </row>
    <row r="126" spans="2:15" ht="41.25" customHeight="1" x14ac:dyDescent="0.25">
      <c r="B126" s="34"/>
      <c r="C126" s="34"/>
      <c r="D126" s="35"/>
      <c r="E126" s="36"/>
      <c r="F126" s="37"/>
      <c r="G126" s="34"/>
      <c r="H126" s="34"/>
      <c r="I126" s="35"/>
      <c r="J126" s="36"/>
      <c r="K126" s="37"/>
      <c r="L126" s="34"/>
      <c r="M126" s="34"/>
      <c r="N126" s="35"/>
      <c r="O126" s="36"/>
    </row>
    <row r="127" spans="2:15" ht="41.25" customHeight="1" x14ac:dyDescent="0.25">
      <c r="B127" s="34"/>
      <c r="C127" s="34"/>
      <c r="D127" s="35"/>
      <c r="E127" s="36"/>
      <c r="F127" s="37"/>
      <c r="G127" s="34"/>
      <c r="H127" s="34"/>
      <c r="I127" s="35"/>
      <c r="J127" s="36"/>
      <c r="K127" s="37"/>
      <c r="L127" s="34"/>
      <c r="M127" s="34"/>
      <c r="N127" s="35"/>
      <c r="O127" s="36"/>
    </row>
    <row r="128" spans="2:15" ht="41.25" customHeight="1" x14ac:dyDescent="0.25">
      <c r="B128" s="34"/>
      <c r="C128" s="34"/>
      <c r="D128" s="35"/>
      <c r="E128" s="36"/>
      <c r="F128" s="37"/>
      <c r="G128" s="34"/>
      <c r="H128" s="34"/>
      <c r="I128" s="35"/>
      <c r="J128" s="36"/>
      <c r="K128" s="37"/>
      <c r="L128" s="34"/>
      <c r="M128" s="34"/>
      <c r="N128" s="35"/>
      <c r="O128" s="36"/>
    </row>
    <row r="129" spans="2:15" ht="41.25" customHeight="1" x14ac:dyDescent="0.25">
      <c r="B129" s="34"/>
      <c r="C129" s="34"/>
      <c r="D129" s="35"/>
      <c r="E129" s="36"/>
      <c r="F129" s="37"/>
      <c r="G129" s="34"/>
      <c r="H129" s="34"/>
      <c r="I129" s="35"/>
      <c r="J129" s="36"/>
      <c r="K129" s="37"/>
      <c r="L129" s="34"/>
      <c r="M129" s="34"/>
      <c r="N129" s="35"/>
      <c r="O129" s="36"/>
    </row>
    <row r="130" spans="2:15" ht="41.25" customHeight="1" x14ac:dyDescent="0.25">
      <c r="B130" s="34"/>
      <c r="C130" s="34"/>
      <c r="D130" s="35"/>
      <c r="E130" s="36"/>
      <c r="F130" s="37"/>
      <c r="G130" s="34"/>
      <c r="H130" s="34"/>
      <c r="I130" s="35"/>
      <c r="J130" s="36"/>
      <c r="K130" s="37"/>
      <c r="L130" s="34"/>
      <c r="M130" s="34"/>
      <c r="N130" s="35"/>
      <c r="O130" s="36"/>
    </row>
    <row r="131" spans="2:15" ht="41.25" customHeight="1" x14ac:dyDescent="0.25">
      <c r="B131" s="34"/>
      <c r="C131" s="34"/>
      <c r="D131" s="35"/>
      <c r="E131" s="36"/>
      <c r="F131" s="37"/>
      <c r="G131" s="34"/>
      <c r="H131" s="34"/>
      <c r="I131" s="35"/>
      <c r="J131" s="36"/>
      <c r="K131" s="37"/>
      <c r="L131" s="34"/>
      <c r="M131" s="34"/>
      <c r="N131" s="35"/>
      <c r="O131" s="36"/>
    </row>
    <row r="132" spans="2:15" ht="41.25" customHeight="1" x14ac:dyDescent="0.25">
      <c r="B132" s="34"/>
      <c r="C132" s="34"/>
      <c r="D132" s="35"/>
      <c r="E132" s="36"/>
      <c r="F132" s="37"/>
      <c r="G132" s="34"/>
      <c r="H132" s="34"/>
      <c r="I132" s="35"/>
      <c r="J132" s="36"/>
      <c r="K132" s="37"/>
      <c r="L132" s="34"/>
      <c r="M132" s="34"/>
      <c r="N132" s="35"/>
      <c r="O132" s="36"/>
    </row>
    <row r="133" spans="2:15" ht="41.25" customHeight="1" x14ac:dyDescent="0.25">
      <c r="B133" s="34"/>
      <c r="C133" s="34"/>
      <c r="D133" s="35"/>
      <c r="E133" s="36"/>
      <c r="F133" s="37"/>
      <c r="G133" s="34"/>
      <c r="H133" s="34"/>
      <c r="I133" s="35"/>
      <c r="J133" s="36"/>
      <c r="K133" s="37"/>
      <c r="L133" s="34"/>
      <c r="M133" s="34"/>
      <c r="N133" s="35"/>
      <c r="O133" s="36"/>
    </row>
    <row r="134" spans="2:15" ht="41.25" customHeight="1" x14ac:dyDescent="0.25">
      <c r="B134" s="34"/>
      <c r="C134" s="34"/>
      <c r="D134" s="35"/>
      <c r="E134" s="36"/>
      <c r="F134" s="37"/>
      <c r="G134" s="34"/>
      <c r="H134" s="34"/>
      <c r="I134" s="35"/>
      <c r="J134" s="36"/>
      <c r="K134" s="37"/>
      <c r="L134" s="34"/>
      <c r="M134" s="34"/>
      <c r="N134" s="35"/>
      <c r="O134" s="36"/>
    </row>
    <row r="135" spans="2:15" ht="41.25" customHeight="1" x14ac:dyDescent="0.25">
      <c r="B135" s="34"/>
      <c r="C135" s="34"/>
      <c r="D135" s="35"/>
      <c r="E135" s="36"/>
      <c r="F135" s="37"/>
      <c r="G135" s="34"/>
      <c r="H135" s="34"/>
      <c r="I135" s="35"/>
      <c r="J135" s="36"/>
      <c r="K135" s="37"/>
      <c r="L135" s="34"/>
      <c r="M135" s="34"/>
      <c r="N135" s="35"/>
      <c r="O135" s="36"/>
    </row>
    <row r="136" spans="2:15" ht="41.25" customHeight="1" x14ac:dyDescent="0.25">
      <c r="B136" s="34"/>
      <c r="C136" s="34"/>
      <c r="D136" s="35"/>
      <c r="E136" s="36"/>
      <c r="F136" s="37"/>
      <c r="G136" s="34"/>
      <c r="H136" s="34"/>
      <c r="I136" s="35"/>
      <c r="J136" s="36"/>
      <c r="K136" s="37"/>
      <c r="L136" s="34"/>
      <c r="M136" s="34"/>
      <c r="N136" s="35"/>
      <c r="O136" s="36"/>
    </row>
    <row r="137" spans="2:15" ht="41.25" customHeight="1" x14ac:dyDescent="0.25">
      <c r="B137" s="34"/>
      <c r="C137" s="34"/>
      <c r="D137" s="35"/>
      <c r="E137" s="36"/>
      <c r="F137" s="37"/>
      <c r="G137" s="34"/>
      <c r="H137" s="34"/>
      <c r="I137" s="35"/>
      <c r="J137" s="36"/>
      <c r="K137" s="37"/>
      <c r="L137" s="34"/>
      <c r="M137" s="34"/>
      <c r="N137" s="35"/>
      <c r="O137" s="36"/>
    </row>
    <row r="138" spans="2:15" ht="41.25" customHeight="1" x14ac:dyDescent="0.25">
      <c r="B138" s="34"/>
      <c r="C138" s="34"/>
      <c r="D138" s="35"/>
      <c r="E138" s="36"/>
      <c r="F138" s="37"/>
      <c r="G138" s="34"/>
      <c r="H138" s="34"/>
      <c r="I138" s="35"/>
      <c r="J138" s="36"/>
      <c r="K138" s="37"/>
      <c r="L138" s="34"/>
      <c r="M138" s="34"/>
      <c r="N138" s="35"/>
      <c r="O138" s="36"/>
    </row>
    <row r="139" spans="2:15" ht="41.25" customHeight="1" x14ac:dyDescent="0.25">
      <c r="B139" s="34"/>
      <c r="C139" s="34"/>
      <c r="D139" s="35"/>
      <c r="E139" s="36"/>
      <c r="F139" s="37"/>
      <c r="G139" s="34"/>
      <c r="H139" s="34"/>
      <c r="I139" s="35"/>
      <c r="J139" s="36"/>
      <c r="K139" s="37"/>
      <c r="L139" s="34"/>
      <c r="M139" s="34"/>
      <c r="N139" s="35"/>
      <c r="O139" s="36"/>
    </row>
    <row r="140" spans="2:15" ht="41.25" customHeight="1" x14ac:dyDescent="0.25">
      <c r="B140" s="34"/>
      <c r="C140" s="34"/>
      <c r="D140" s="35"/>
      <c r="E140" s="36"/>
      <c r="F140" s="37"/>
      <c r="G140" s="34"/>
      <c r="H140" s="34"/>
      <c r="I140" s="35"/>
      <c r="J140" s="36"/>
      <c r="K140" s="37"/>
      <c r="L140" s="34"/>
      <c r="M140" s="34"/>
      <c r="N140" s="35"/>
      <c r="O140" s="36"/>
    </row>
    <row r="141" spans="2:15" ht="41.25" customHeight="1" x14ac:dyDescent="0.25">
      <c r="B141" s="34"/>
      <c r="C141" s="34"/>
      <c r="D141" s="35"/>
      <c r="E141" s="36"/>
      <c r="F141" s="37"/>
      <c r="G141" s="34"/>
      <c r="H141" s="34"/>
      <c r="I141" s="35"/>
      <c r="J141" s="36"/>
      <c r="K141" s="37"/>
      <c r="L141" s="34"/>
      <c r="M141" s="34"/>
      <c r="N141" s="35"/>
      <c r="O141" s="36"/>
    </row>
    <row r="142" spans="2:15" ht="41.25" customHeight="1" x14ac:dyDescent="0.25">
      <c r="B142" s="34"/>
      <c r="C142" s="34"/>
      <c r="D142" s="35"/>
      <c r="E142" s="36"/>
      <c r="F142" s="37"/>
      <c r="G142" s="34"/>
      <c r="H142" s="34"/>
      <c r="I142" s="35"/>
      <c r="J142" s="36"/>
      <c r="K142" s="37"/>
      <c r="L142" s="34"/>
      <c r="M142" s="34"/>
      <c r="N142" s="35"/>
      <c r="O142" s="36"/>
    </row>
    <row r="143" spans="2:15" ht="41.25" customHeight="1" x14ac:dyDescent="0.25">
      <c r="B143" s="34"/>
      <c r="C143" s="34"/>
      <c r="D143" s="35"/>
      <c r="E143" s="36"/>
      <c r="F143" s="37"/>
      <c r="G143" s="34"/>
      <c r="H143" s="34"/>
      <c r="I143" s="35"/>
      <c r="J143" s="36"/>
      <c r="K143" s="37"/>
      <c r="L143" s="34"/>
      <c r="M143" s="34"/>
      <c r="N143" s="35"/>
      <c r="O143" s="36"/>
    </row>
    <row r="144" spans="2:15" ht="41.25" customHeight="1" x14ac:dyDescent="0.25">
      <c r="B144" s="34"/>
      <c r="C144" s="34"/>
      <c r="D144" s="35"/>
      <c r="E144" s="36"/>
      <c r="F144" s="37"/>
      <c r="G144" s="34"/>
      <c r="H144" s="34"/>
      <c r="I144" s="35"/>
      <c r="J144" s="36"/>
      <c r="K144" s="37"/>
      <c r="L144" s="34"/>
      <c r="M144" s="34"/>
      <c r="N144" s="35"/>
      <c r="O144" s="36"/>
    </row>
    <row r="145" spans="2:15" ht="41.25" customHeight="1" x14ac:dyDescent="0.25">
      <c r="B145" s="34"/>
      <c r="C145" s="34"/>
      <c r="D145" s="35"/>
      <c r="E145" s="36"/>
      <c r="F145" s="37"/>
      <c r="G145" s="34"/>
      <c r="H145" s="34"/>
      <c r="I145" s="35"/>
      <c r="J145" s="36"/>
      <c r="K145" s="37"/>
      <c r="L145" s="34"/>
      <c r="M145" s="34"/>
      <c r="N145" s="35"/>
      <c r="O145" s="36"/>
    </row>
    <row r="146" spans="2:15" ht="41.25" customHeight="1" x14ac:dyDescent="0.25">
      <c r="B146" s="34"/>
      <c r="C146" s="34"/>
      <c r="D146" s="35"/>
      <c r="E146" s="36"/>
      <c r="F146" s="37"/>
      <c r="G146" s="34"/>
      <c r="H146" s="34"/>
      <c r="I146" s="35"/>
      <c r="J146" s="36"/>
      <c r="K146" s="37"/>
      <c r="L146" s="34"/>
      <c r="M146" s="34"/>
      <c r="N146" s="35"/>
      <c r="O146" s="36"/>
    </row>
    <row r="147" spans="2:15" ht="41.25" customHeight="1" x14ac:dyDescent="0.25">
      <c r="B147" s="34"/>
      <c r="C147" s="34"/>
      <c r="D147" s="35"/>
      <c r="E147" s="36"/>
      <c r="F147" s="37"/>
      <c r="G147" s="34"/>
      <c r="H147" s="34"/>
      <c r="I147" s="35"/>
      <c r="J147" s="36"/>
      <c r="K147" s="37"/>
      <c r="L147" s="34"/>
      <c r="M147" s="34"/>
      <c r="N147" s="35"/>
      <c r="O147" s="36"/>
    </row>
    <row r="148" spans="2:15" ht="41.25" customHeight="1" x14ac:dyDescent="0.25">
      <c r="B148" s="34"/>
      <c r="C148" s="34"/>
      <c r="D148" s="35"/>
      <c r="E148" s="36"/>
      <c r="F148" s="37"/>
      <c r="G148" s="34"/>
      <c r="H148" s="34"/>
      <c r="I148" s="35"/>
      <c r="J148" s="36"/>
      <c r="K148" s="37"/>
      <c r="L148" s="34"/>
      <c r="M148" s="34"/>
      <c r="N148" s="35"/>
      <c r="O148" s="36"/>
    </row>
    <row r="149" spans="2:15" ht="41.25" customHeight="1" x14ac:dyDescent="0.25">
      <c r="B149" s="34"/>
      <c r="C149" s="34"/>
      <c r="D149" s="35"/>
      <c r="E149" s="36"/>
      <c r="F149" s="37"/>
      <c r="G149" s="34"/>
      <c r="H149" s="34"/>
      <c r="I149" s="35"/>
      <c r="J149" s="36"/>
      <c r="K149" s="37"/>
      <c r="L149" s="34"/>
      <c r="M149" s="34"/>
      <c r="N149" s="35"/>
      <c r="O149" s="36"/>
    </row>
    <row r="150" spans="2:15" ht="41.25" customHeight="1" x14ac:dyDescent="0.25">
      <c r="B150" s="34"/>
      <c r="C150" s="34"/>
      <c r="D150" s="35"/>
      <c r="E150" s="36"/>
      <c r="F150" s="37"/>
      <c r="G150" s="34"/>
      <c r="H150" s="34"/>
      <c r="I150" s="35"/>
      <c r="J150" s="36"/>
      <c r="K150" s="37"/>
      <c r="L150" s="34"/>
      <c r="M150" s="34"/>
      <c r="N150" s="35"/>
      <c r="O150" s="36"/>
    </row>
    <row r="151" spans="2:15" ht="41.25" customHeight="1" x14ac:dyDescent="0.25">
      <c r="B151" s="34"/>
      <c r="C151" s="34"/>
      <c r="D151" s="35"/>
      <c r="E151" s="36"/>
      <c r="F151" s="37"/>
      <c r="G151" s="34"/>
      <c r="H151" s="34"/>
      <c r="I151" s="35"/>
      <c r="J151" s="36"/>
      <c r="K151" s="37"/>
      <c r="L151" s="34"/>
      <c r="M151" s="34"/>
      <c r="N151" s="35"/>
      <c r="O151" s="36"/>
    </row>
    <row r="152" spans="2:15" ht="41.25" customHeight="1" x14ac:dyDescent="0.25">
      <c r="B152" s="34"/>
      <c r="C152" s="34"/>
      <c r="D152" s="35"/>
      <c r="E152" s="36"/>
      <c r="F152" s="37"/>
      <c r="G152" s="34"/>
      <c r="H152" s="34"/>
      <c r="I152" s="35"/>
      <c r="J152" s="36"/>
      <c r="K152" s="37"/>
      <c r="L152" s="34"/>
      <c r="M152" s="34"/>
      <c r="N152" s="35"/>
      <c r="O152" s="36"/>
    </row>
    <row r="153" spans="2:15" ht="41.25" customHeight="1" x14ac:dyDescent="0.25">
      <c r="B153" s="34"/>
      <c r="C153" s="34"/>
      <c r="D153" s="35"/>
      <c r="E153" s="36"/>
      <c r="F153" s="37"/>
      <c r="G153" s="34"/>
      <c r="H153" s="34"/>
      <c r="I153" s="35"/>
      <c r="J153" s="36"/>
      <c r="K153" s="37"/>
      <c r="L153" s="34"/>
      <c r="M153" s="34"/>
      <c r="N153" s="35"/>
      <c r="O153" s="36"/>
    </row>
    <row r="154" spans="2:15" ht="41.25" customHeight="1" x14ac:dyDescent="0.25">
      <c r="B154" s="34"/>
      <c r="C154" s="34"/>
      <c r="D154" s="35"/>
      <c r="E154" s="36"/>
      <c r="F154" s="37"/>
      <c r="G154" s="34"/>
      <c r="H154" s="34"/>
      <c r="I154" s="35"/>
      <c r="J154" s="36"/>
      <c r="K154" s="37"/>
      <c r="L154" s="34"/>
      <c r="M154" s="34"/>
      <c r="N154" s="35"/>
      <c r="O154" s="36"/>
    </row>
    <row r="155" spans="2:15" ht="41.25" customHeight="1" x14ac:dyDescent="0.25">
      <c r="B155" s="34"/>
      <c r="C155" s="34"/>
      <c r="D155" s="35"/>
      <c r="E155" s="36"/>
      <c r="F155" s="37"/>
      <c r="G155" s="34"/>
      <c r="H155" s="34"/>
      <c r="I155" s="35"/>
      <c r="J155" s="36"/>
      <c r="K155" s="37"/>
      <c r="L155" s="34"/>
      <c r="M155" s="34"/>
      <c r="N155" s="35"/>
      <c r="O155" s="36"/>
    </row>
    <row r="156" spans="2:15" ht="41.25" customHeight="1" x14ac:dyDescent="0.25">
      <c r="B156" s="34"/>
      <c r="C156" s="34"/>
      <c r="D156" s="35"/>
      <c r="E156" s="36"/>
      <c r="F156" s="37"/>
      <c r="G156" s="34"/>
      <c r="H156" s="34"/>
      <c r="I156" s="35"/>
      <c r="J156" s="36"/>
      <c r="K156" s="37"/>
      <c r="L156" s="34"/>
      <c r="M156" s="34"/>
      <c r="N156" s="35"/>
      <c r="O156" s="36"/>
    </row>
    <row r="157" spans="2:15" ht="41.25" customHeight="1" x14ac:dyDescent="0.25">
      <c r="B157" s="34"/>
      <c r="C157" s="34"/>
      <c r="D157" s="35"/>
      <c r="E157" s="36"/>
      <c r="F157" s="37"/>
      <c r="G157" s="34"/>
      <c r="H157" s="34"/>
      <c r="I157" s="35"/>
      <c r="J157" s="36"/>
      <c r="K157" s="37"/>
      <c r="L157" s="34"/>
      <c r="M157" s="34"/>
      <c r="N157" s="35"/>
      <c r="O157" s="36"/>
    </row>
    <row r="158" spans="2:15" ht="41.25" customHeight="1" x14ac:dyDescent="0.25">
      <c r="B158" s="34"/>
      <c r="C158" s="34"/>
      <c r="D158" s="35"/>
      <c r="E158" s="36"/>
      <c r="F158" s="37"/>
      <c r="G158" s="34"/>
      <c r="H158" s="34"/>
      <c r="I158" s="35"/>
      <c r="J158" s="36"/>
      <c r="K158" s="37"/>
      <c r="L158" s="34"/>
      <c r="M158" s="34"/>
      <c r="N158" s="35"/>
      <c r="O158" s="36"/>
    </row>
    <row r="159" spans="2:15" ht="41.25" customHeight="1" x14ac:dyDescent="0.25">
      <c r="B159" s="34"/>
      <c r="C159" s="34"/>
      <c r="D159" s="35"/>
      <c r="E159" s="36"/>
      <c r="F159" s="37"/>
      <c r="G159" s="34"/>
      <c r="H159" s="34"/>
      <c r="I159" s="35"/>
      <c r="J159" s="36"/>
      <c r="K159" s="37"/>
      <c r="L159" s="34"/>
      <c r="M159" s="34"/>
      <c r="N159" s="35"/>
      <c r="O159" s="36"/>
    </row>
    <row r="160" spans="2:15" ht="41.25" customHeight="1" x14ac:dyDescent="0.25">
      <c r="B160" s="34"/>
      <c r="C160" s="34"/>
      <c r="D160" s="35"/>
      <c r="E160" s="36"/>
      <c r="F160" s="37"/>
      <c r="G160" s="34"/>
      <c r="H160" s="34"/>
      <c r="I160" s="35"/>
      <c r="J160" s="36"/>
      <c r="K160" s="37"/>
      <c r="L160" s="34"/>
      <c r="M160" s="34"/>
      <c r="N160" s="35"/>
      <c r="O160" s="36"/>
    </row>
    <row r="161" spans="2:15" ht="41.25" customHeight="1" x14ac:dyDescent="0.25">
      <c r="B161" s="34"/>
      <c r="C161" s="34"/>
      <c r="D161" s="35"/>
      <c r="E161" s="36"/>
      <c r="F161" s="37"/>
      <c r="G161" s="34"/>
      <c r="H161" s="34"/>
      <c r="I161" s="35"/>
      <c r="J161" s="36"/>
      <c r="K161" s="37"/>
      <c r="L161" s="34"/>
      <c r="M161" s="34"/>
      <c r="N161" s="35"/>
      <c r="O161" s="36"/>
    </row>
    <row r="162" spans="2:15" ht="41.25" customHeight="1" x14ac:dyDescent="0.25">
      <c r="B162" s="34"/>
      <c r="C162" s="34"/>
      <c r="D162" s="35"/>
      <c r="E162" s="36"/>
      <c r="F162" s="37"/>
      <c r="G162" s="34"/>
      <c r="H162" s="34"/>
      <c r="I162" s="35"/>
      <c r="J162" s="36"/>
      <c r="K162" s="37"/>
      <c r="L162" s="34"/>
      <c r="M162" s="34"/>
      <c r="N162" s="35"/>
      <c r="O162" s="36"/>
    </row>
    <row r="163" spans="2:15" ht="41.25" customHeight="1" x14ac:dyDescent="0.25">
      <c r="B163" s="34"/>
      <c r="C163" s="34"/>
      <c r="D163" s="35"/>
      <c r="E163" s="36"/>
      <c r="F163" s="37"/>
      <c r="G163" s="34"/>
      <c r="H163" s="34"/>
      <c r="I163" s="35"/>
      <c r="J163" s="36"/>
      <c r="K163" s="37"/>
      <c r="L163" s="34"/>
      <c r="M163" s="34"/>
      <c r="N163" s="35"/>
      <c r="O163" s="36"/>
    </row>
    <row r="164" spans="2:15" ht="41.25" customHeight="1" x14ac:dyDescent="0.25">
      <c r="B164" s="34"/>
      <c r="C164" s="34"/>
      <c r="D164" s="35"/>
      <c r="E164" s="36"/>
      <c r="F164" s="37"/>
      <c r="G164" s="34"/>
      <c r="H164" s="34"/>
      <c r="I164" s="35"/>
      <c r="J164" s="36"/>
      <c r="K164" s="37"/>
      <c r="L164" s="34"/>
      <c r="M164" s="34"/>
      <c r="N164" s="35"/>
      <c r="O164" s="36"/>
    </row>
    <row r="165" spans="2:15" ht="41.25" customHeight="1" x14ac:dyDescent="0.25">
      <c r="B165" s="34"/>
      <c r="C165" s="34"/>
      <c r="D165" s="35"/>
      <c r="E165" s="36"/>
      <c r="F165" s="37"/>
      <c r="G165" s="34"/>
      <c r="H165" s="34"/>
      <c r="I165" s="35"/>
      <c r="J165" s="36"/>
      <c r="K165" s="37"/>
      <c r="L165" s="34"/>
      <c r="M165" s="34"/>
      <c r="N165" s="35"/>
      <c r="O165" s="36"/>
    </row>
    <row r="166" spans="2:15" ht="41.25" customHeight="1" x14ac:dyDescent="0.25">
      <c r="B166" s="34"/>
      <c r="C166" s="34"/>
      <c r="D166" s="35"/>
      <c r="E166" s="36"/>
      <c r="F166" s="37"/>
      <c r="G166" s="34"/>
      <c r="H166" s="34"/>
      <c r="I166" s="35"/>
      <c r="J166" s="36"/>
      <c r="K166" s="37"/>
      <c r="L166" s="34"/>
      <c r="M166" s="34"/>
      <c r="N166" s="35"/>
      <c r="O166" s="36"/>
    </row>
    <row r="167" spans="2:15" ht="41.25" customHeight="1" x14ac:dyDescent="0.25">
      <c r="B167" s="34"/>
      <c r="C167" s="34"/>
      <c r="D167" s="35"/>
      <c r="E167" s="36"/>
      <c r="F167" s="37"/>
      <c r="G167" s="34"/>
      <c r="H167" s="34"/>
      <c r="I167" s="35"/>
      <c r="J167" s="36"/>
      <c r="K167" s="37"/>
      <c r="L167" s="34"/>
      <c r="M167" s="34"/>
      <c r="N167" s="35"/>
      <c r="O167" s="36"/>
    </row>
    <row r="168" spans="2:15" ht="41.25" customHeight="1" x14ac:dyDescent="0.25">
      <c r="B168" s="34"/>
      <c r="C168" s="34"/>
      <c r="D168" s="35"/>
      <c r="E168" s="36"/>
      <c r="F168" s="37"/>
      <c r="G168" s="34"/>
      <c r="H168" s="34"/>
      <c r="I168" s="35"/>
      <c r="J168" s="36"/>
      <c r="K168" s="37"/>
      <c r="L168" s="34"/>
      <c r="M168" s="34"/>
      <c r="N168" s="35"/>
      <c r="O168" s="36"/>
    </row>
    <row r="169" spans="2:15" ht="41.25" customHeight="1" x14ac:dyDescent="0.25">
      <c r="B169" s="34"/>
      <c r="C169" s="34"/>
      <c r="D169" s="35"/>
      <c r="E169" s="36"/>
      <c r="F169" s="37"/>
      <c r="G169" s="34"/>
      <c r="H169" s="34"/>
      <c r="I169" s="35"/>
      <c r="J169" s="36"/>
      <c r="K169" s="37"/>
      <c r="L169" s="34"/>
      <c r="M169" s="34"/>
      <c r="N169" s="35"/>
      <c r="O169" s="36"/>
    </row>
    <row r="170" spans="2:15" ht="41.25" customHeight="1" x14ac:dyDescent="0.25">
      <c r="B170" s="34"/>
      <c r="C170" s="34"/>
      <c r="D170" s="35"/>
      <c r="E170" s="36"/>
      <c r="F170" s="37"/>
      <c r="G170" s="34"/>
      <c r="H170" s="34"/>
      <c r="I170" s="35"/>
      <c r="J170" s="36"/>
      <c r="K170" s="37"/>
      <c r="L170" s="34"/>
      <c r="M170" s="34"/>
      <c r="N170" s="35"/>
      <c r="O170" s="36"/>
    </row>
    <row r="171" spans="2:15" ht="41.25" customHeight="1" x14ac:dyDescent="0.25">
      <c r="B171" s="34"/>
      <c r="C171" s="34"/>
      <c r="D171" s="35"/>
      <c r="E171" s="36"/>
      <c r="F171" s="37"/>
      <c r="G171" s="34"/>
      <c r="H171" s="34"/>
      <c r="I171" s="35"/>
      <c r="J171" s="36"/>
      <c r="K171" s="37"/>
      <c r="L171" s="34"/>
      <c r="M171" s="34"/>
      <c r="N171" s="35"/>
      <c r="O171" s="36"/>
    </row>
    <row r="172" spans="2:15" ht="41.25" customHeight="1" x14ac:dyDescent="0.25">
      <c r="B172" s="34"/>
      <c r="C172" s="34"/>
      <c r="D172" s="35"/>
      <c r="E172" s="36"/>
      <c r="F172" s="37"/>
      <c r="G172" s="34"/>
      <c r="H172" s="34"/>
      <c r="I172" s="35"/>
      <c r="J172" s="36"/>
      <c r="K172" s="37"/>
      <c r="L172" s="34"/>
      <c r="M172" s="34"/>
      <c r="N172" s="35"/>
      <c r="O172" s="36"/>
    </row>
    <row r="173" spans="2:15" ht="41.25" customHeight="1" x14ac:dyDescent="0.25">
      <c r="B173" s="34"/>
      <c r="C173" s="34"/>
      <c r="D173" s="35"/>
      <c r="E173" s="36"/>
      <c r="F173" s="37"/>
      <c r="G173" s="34"/>
      <c r="H173" s="34"/>
      <c r="I173" s="35"/>
      <c r="J173" s="36"/>
      <c r="K173" s="37"/>
      <c r="L173" s="34"/>
      <c r="M173" s="34"/>
      <c r="N173" s="35"/>
      <c r="O173" s="36"/>
    </row>
    <row r="174" spans="2:15" ht="41.25" customHeight="1" x14ac:dyDescent="0.25">
      <c r="B174" s="34"/>
      <c r="C174" s="34"/>
      <c r="D174" s="35"/>
      <c r="E174" s="36"/>
      <c r="F174" s="37"/>
      <c r="G174" s="34"/>
      <c r="H174" s="34"/>
      <c r="I174" s="35"/>
      <c r="J174" s="36"/>
      <c r="K174" s="37"/>
      <c r="L174" s="34"/>
      <c r="M174" s="34"/>
      <c r="N174" s="35"/>
      <c r="O174" s="36"/>
    </row>
    <row r="175" spans="2:15" ht="41.25" customHeight="1" x14ac:dyDescent="0.25">
      <c r="B175" s="34"/>
      <c r="C175" s="34"/>
      <c r="D175" s="35"/>
      <c r="E175" s="36"/>
      <c r="F175" s="37"/>
      <c r="G175" s="34"/>
      <c r="H175" s="34"/>
      <c r="I175" s="35"/>
      <c r="J175" s="36"/>
      <c r="K175" s="37"/>
      <c r="L175" s="34"/>
      <c r="M175" s="34"/>
      <c r="N175" s="35"/>
      <c r="O175" s="36"/>
    </row>
    <row r="176" spans="2:15" ht="41.25" customHeight="1" x14ac:dyDescent="0.25">
      <c r="B176" s="34"/>
      <c r="C176" s="34"/>
      <c r="D176" s="35"/>
      <c r="E176" s="36"/>
      <c r="F176" s="37"/>
      <c r="G176" s="34"/>
      <c r="H176" s="34"/>
      <c r="I176" s="35"/>
      <c r="J176" s="36"/>
      <c r="K176" s="37"/>
      <c r="L176" s="34"/>
      <c r="M176" s="34"/>
      <c r="N176" s="35"/>
      <c r="O176" s="36"/>
    </row>
    <row r="177" spans="2:15" ht="41.25" customHeight="1" x14ac:dyDescent="0.25">
      <c r="B177" s="34"/>
      <c r="C177" s="34"/>
      <c r="D177" s="35"/>
      <c r="E177" s="36"/>
      <c r="F177" s="37"/>
      <c r="G177" s="34"/>
      <c r="H177" s="34"/>
      <c r="I177" s="35"/>
      <c r="J177" s="36"/>
      <c r="K177" s="37"/>
      <c r="L177" s="34"/>
      <c r="M177" s="34"/>
      <c r="N177" s="35"/>
      <c r="O177" s="36"/>
    </row>
    <row r="178" spans="2:15" ht="41.25" customHeight="1" x14ac:dyDescent="0.25">
      <c r="B178" s="34"/>
      <c r="C178" s="34"/>
      <c r="D178" s="35"/>
      <c r="E178" s="36"/>
      <c r="F178" s="37"/>
      <c r="G178" s="34"/>
      <c r="H178" s="34"/>
      <c r="I178" s="35"/>
      <c r="J178" s="36"/>
      <c r="K178" s="37"/>
      <c r="L178" s="34"/>
      <c r="M178" s="34"/>
      <c r="N178" s="35"/>
      <c r="O178" s="36"/>
    </row>
    <row r="179" spans="2:15" ht="41.25" customHeight="1" x14ac:dyDescent="0.25">
      <c r="B179" s="34"/>
      <c r="C179" s="34"/>
      <c r="D179" s="35"/>
      <c r="E179" s="36"/>
      <c r="F179" s="37"/>
      <c r="G179" s="34"/>
      <c r="H179" s="34"/>
      <c r="I179" s="35"/>
      <c r="J179" s="36"/>
      <c r="K179" s="37"/>
      <c r="L179" s="34"/>
      <c r="M179" s="34"/>
      <c r="N179" s="35"/>
      <c r="O179" s="36"/>
    </row>
    <row r="180" spans="2:15" ht="41.25" customHeight="1" x14ac:dyDescent="0.25">
      <c r="B180" s="34"/>
      <c r="C180" s="34"/>
      <c r="D180" s="35"/>
      <c r="E180" s="36"/>
      <c r="F180" s="37"/>
      <c r="G180" s="34"/>
      <c r="H180" s="34"/>
      <c r="I180" s="35"/>
      <c r="J180" s="36"/>
      <c r="K180" s="37"/>
      <c r="L180" s="34"/>
      <c r="M180" s="34"/>
      <c r="N180" s="35"/>
      <c r="O180" s="36"/>
    </row>
    <row r="181" spans="2:15" ht="41.25" customHeight="1" x14ac:dyDescent="0.25">
      <c r="B181" s="34"/>
      <c r="C181" s="34"/>
      <c r="D181" s="35"/>
      <c r="E181" s="36"/>
      <c r="F181" s="37"/>
      <c r="G181" s="34"/>
      <c r="H181" s="34"/>
      <c r="I181" s="35"/>
      <c r="J181" s="36"/>
      <c r="K181" s="37"/>
      <c r="L181" s="34"/>
      <c r="M181" s="34"/>
      <c r="N181" s="35"/>
      <c r="O181" s="36"/>
    </row>
    <row r="182" spans="2:15" ht="41.25" customHeight="1" x14ac:dyDescent="0.25">
      <c r="B182" s="34"/>
      <c r="C182" s="34"/>
      <c r="D182" s="35"/>
      <c r="E182" s="36"/>
      <c r="F182" s="37"/>
      <c r="G182" s="34"/>
      <c r="H182" s="34"/>
      <c r="I182" s="35"/>
      <c r="J182" s="36"/>
      <c r="K182" s="37"/>
      <c r="L182" s="34"/>
      <c r="M182" s="34"/>
      <c r="N182" s="35"/>
      <c r="O182" s="36"/>
    </row>
    <row r="183" spans="2:15" ht="41.25" customHeight="1" x14ac:dyDescent="0.25">
      <c r="B183" s="34"/>
      <c r="C183" s="34"/>
      <c r="D183" s="35"/>
      <c r="E183" s="36"/>
      <c r="F183" s="37"/>
      <c r="G183" s="34"/>
      <c r="H183" s="34"/>
      <c r="I183" s="35"/>
      <c r="J183" s="36"/>
      <c r="K183" s="37"/>
      <c r="L183" s="34"/>
      <c r="M183" s="34"/>
      <c r="N183" s="35"/>
      <c r="O183" s="36"/>
    </row>
    <row r="184" spans="2:15" ht="41.25" customHeight="1" x14ac:dyDescent="0.25">
      <c r="B184" s="34"/>
      <c r="C184" s="34"/>
      <c r="D184" s="35"/>
      <c r="E184" s="36"/>
      <c r="F184" s="37"/>
      <c r="G184" s="34"/>
      <c r="H184" s="34"/>
      <c r="I184" s="35"/>
      <c r="J184" s="36"/>
      <c r="K184" s="37"/>
      <c r="L184" s="34"/>
      <c r="M184" s="34"/>
      <c r="N184" s="35"/>
      <c r="O184" s="36"/>
    </row>
    <row r="185" spans="2:15" ht="41.25" customHeight="1" x14ac:dyDescent="0.25">
      <c r="B185" s="34"/>
      <c r="C185" s="34"/>
      <c r="D185" s="35"/>
      <c r="E185" s="36"/>
      <c r="F185" s="37"/>
      <c r="G185" s="34"/>
      <c r="H185" s="34"/>
      <c r="I185" s="35"/>
      <c r="J185" s="36"/>
      <c r="K185" s="37"/>
      <c r="L185" s="34"/>
      <c r="M185" s="34"/>
      <c r="N185" s="35"/>
      <c r="O185" s="36"/>
    </row>
    <row r="186" spans="2:15" ht="41.25" customHeight="1" x14ac:dyDescent="0.25">
      <c r="B186" s="34"/>
      <c r="C186" s="34"/>
      <c r="D186" s="35"/>
      <c r="E186" s="36"/>
      <c r="F186" s="37"/>
      <c r="G186" s="34"/>
      <c r="H186" s="34"/>
      <c r="I186" s="35"/>
      <c r="J186" s="36"/>
      <c r="K186" s="37"/>
      <c r="L186" s="34"/>
      <c r="M186" s="34"/>
      <c r="N186" s="35"/>
      <c r="O186" s="36"/>
    </row>
    <row r="187" spans="2:15" ht="41.25" customHeight="1" x14ac:dyDescent="0.25">
      <c r="B187" s="34"/>
      <c r="C187" s="34"/>
      <c r="D187" s="35"/>
      <c r="E187" s="36"/>
      <c r="F187" s="37"/>
      <c r="G187" s="34"/>
      <c r="H187" s="34"/>
      <c r="I187" s="35"/>
      <c r="J187" s="36"/>
      <c r="K187" s="37"/>
      <c r="L187" s="34"/>
      <c r="M187" s="34"/>
      <c r="N187" s="35"/>
      <c r="O187" s="36"/>
    </row>
    <row r="188" spans="2:15" ht="41.25" customHeight="1" x14ac:dyDescent="0.25">
      <c r="B188" s="34"/>
      <c r="C188" s="34"/>
      <c r="D188" s="35"/>
      <c r="E188" s="36"/>
      <c r="F188" s="37"/>
      <c r="G188" s="34"/>
      <c r="H188" s="34"/>
      <c r="I188" s="35"/>
      <c r="J188" s="36"/>
      <c r="K188" s="37"/>
      <c r="L188" s="34"/>
      <c r="M188" s="34"/>
      <c r="N188" s="35"/>
      <c r="O188" s="36"/>
    </row>
    <row r="189" spans="2:15" ht="41.25" customHeight="1" x14ac:dyDescent="0.25">
      <c r="B189" s="34"/>
      <c r="C189" s="34"/>
      <c r="D189" s="35"/>
      <c r="E189" s="36"/>
      <c r="F189" s="37"/>
      <c r="G189" s="34"/>
      <c r="H189" s="34"/>
      <c r="I189" s="35"/>
      <c r="J189" s="36"/>
      <c r="K189" s="37"/>
      <c r="L189" s="34"/>
      <c r="M189" s="34"/>
      <c r="N189" s="35"/>
      <c r="O189" s="36"/>
    </row>
    <row r="190" spans="2:15" ht="41.25" customHeight="1" x14ac:dyDescent="0.25">
      <c r="B190" s="34"/>
      <c r="C190" s="34"/>
      <c r="D190" s="35"/>
      <c r="E190" s="36"/>
      <c r="F190" s="37"/>
      <c r="G190" s="34"/>
      <c r="H190" s="34"/>
      <c r="I190" s="35"/>
      <c r="J190" s="36"/>
      <c r="K190" s="37"/>
      <c r="L190" s="34"/>
      <c r="M190" s="34"/>
      <c r="N190" s="35"/>
      <c r="O190" s="36"/>
    </row>
    <row r="191" spans="2:15" ht="41.25" customHeight="1" x14ac:dyDescent="0.25">
      <c r="B191" s="34"/>
      <c r="C191" s="34"/>
      <c r="D191" s="35"/>
      <c r="E191" s="36"/>
      <c r="F191" s="37"/>
      <c r="G191" s="34"/>
      <c r="H191" s="34"/>
      <c r="I191" s="35"/>
      <c r="J191" s="36"/>
      <c r="K191" s="37"/>
      <c r="L191" s="34"/>
      <c r="M191" s="34"/>
      <c r="N191" s="35"/>
      <c r="O191" s="36"/>
    </row>
    <row r="192" spans="2:15" ht="41.25" customHeight="1" x14ac:dyDescent="0.25">
      <c r="B192" s="34"/>
      <c r="C192" s="34"/>
      <c r="D192" s="35"/>
      <c r="E192" s="36"/>
      <c r="F192" s="37"/>
      <c r="G192" s="34"/>
      <c r="H192" s="34"/>
      <c r="I192" s="35"/>
      <c r="J192" s="36"/>
      <c r="K192" s="37"/>
      <c r="L192" s="34"/>
      <c r="M192" s="34"/>
      <c r="N192" s="35"/>
      <c r="O192" s="36"/>
    </row>
    <row r="193" spans="2:15" ht="41.25" customHeight="1" x14ac:dyDescent="0.25">
      <c r="B193" s="34"/>
      <c r="C193" s="34"/>
      <c r="D193" s="35"/>
      <c r="E193" s="36"/>
      <c r="F193" s="37"/>
      <c r="G193" s="34"/>
      <c r="H193" s="34"/>
      <c r="I193" s="35"/>
      <c r="J193" s="36"/>
      <c r="K193" s="37"/>
      <c r="L193" s="34"/>
      <c r="M193" s="34"/>
      <c r="N193" s="35"/>
      <c r="O193" s="36"/>
    </row>
    <row r="194" spans="2:15" ht="41.25" customHeight="1" x14ac:dyDescent="0.25">
      <c r="B194" s="34"/>
      <c r="C194" s="34"/>
      <c r="D194" s="35"/>
      <c r="E194" s="36"/>
      <c r="F194" s="37"/>
      <c r="G194" s="34"/>
      <c r="H194" s="34"/>
      <c r="I194" s="35"/>
      <c r="J194" s="36"/>
      <c r="K194" s="37"/>
      <c r="L194" s="34"/>
      <c r="M194" s="34"/>
      <c r="N194" s="35"/>
      <c r="O194" s="36"/>
    </row>
    <row r="195" spans="2:15" ht="41.25" customHeight="1" x14ac:dyDescent="0.25">
      <c r="B195" s="34"/>
      <c r="C195" s="34"/>
      <c r="D195" s="35"/>
      <c r="E195" s="36"/>
      <c r="F195" s="37"/>
      <c r="G195" s="34"/>
      <c r="H195" s="34"/>
      <c r="I195" s="35"/>
      <c r="J195" s="36"/>
      <c r="K195" s="37"/>
      <c r="L195" s="34"/>
      <c r="M195" s="34"/>
      <c r="N195" s="35"/>
      <c r="O195" s="36"/>
    </row>
    <row r="196" spans="2:15" ht="41.25" customHeight="1" x14ac:dyDescent="0.25">
      <c r="B196" s="34"/>
      <c r="C196" s="34"/>
      <c r="D196" s="35"/>
      <c r="E196" s="36"/>
      <c r="F196" s="37"/>
      <c r="G196" s="34"/>
      <c r="H196" s="34"/>
      <c r="I196" s="35"/>
      <c r="J196" s="36"/>
      <c r="K196" s="37"/>
      <c r="L196" s="34"/>
      <c r="M196" s="34"/>
      <c r="N196" s="35"/>
      <c r="O196" s="36"/>
    </row>
    <row r="197" spans="2:15" ht="41.25" customHeight="1" x14ac:dyDescent="0.25">
      <c r="B197" s="34"/>
      <c r="C197" s="34"/>
      <c r="D197" s="35"/>
      <c r="E197" s="36"/>
      <c r="F197" s="37"/>
      <c r="G197" s="34"/>
      <c r="H197" s="34"/>
      <c r="I197" s="35"/>
      <c r="J197" s="36"/>
      <c r="K197" s="37"/>
      <c r="L197" s="34"/>
      <c r="M197" s="34"/>
      <c r="N197" s="35"/>
      <c r="O197" s="36"/>
    </row>
    <row r="198" spans="2:15" ht="41.25" customHeight="1" x14ac:dyDescent="0.25">
      <c r="B198" s="34"/>
      <c r="C198" s="34"/>
      <c r="D198" s="35"/>
      <c r="E198" s="36"/>
      <c r="F198" s="37"/>
      <c r="G198" s="34"/>
      <c r="H198" s="34"/>
      <c r="I198" s="35"/>
      <c r="J198" s="36"/>
      <c r="K198" s="37"/>
      <c r="L198" s="34"/>
      <c r="M198" s="34"/>
      <c r="N198" s="35"/>
      <c r="O198" s="36"/>
    </row>
    <row r="199" spans="2:15" ht="41.25" customHeight="1" x14ac:dyDescent="0.25">
      <c r="B199" s="34"/>
      <c r="C199" s="34"/>
      <c r="D199" s="35"/>
      <c r="E199" s="36"/>
      <c r="F199" s="37"/>
      <c r="G199" s="34"/>
      <c r="H199" s="34"/>
      <c r="I199" s="35"/>
      <c r="J199" s="36"/>
      <c r="K199" s="37"/>
      <c r="L199" s="34"/>
      <c r="M199" s="34"/>
      <c r="N199" s="35"/>
      <c r="O199" s="36"/>
    </row>
    <row r="200" spans="2:15" ht="41.25" customHeight="1" x14ac:dyDescent="0.25">
      <c r="B200" s="34"/>
      <c r="C200" s="34"/>
      <c r="D200" s="35"/>
      <c r="E200" s="36"/>
      <c r="F200" s="37"/>
      <c r="G200" s="34"/>
      <c r="H200" s="34"/>
      <c r="I200" s="35"/>
      <c r="J200" s="36"/>
      <c r="K200" s="37"/>
      <c r="L200" s="34"/>
      <c r="M200" s="34"/>
      <c r="N200" s="35"/>
      <c r="O200" s="36"/>
    </row>
    <row r="201" spans="2:15" ht="41.25" customHeight="1" x14ac:dyDescent="0.25">
      <c r="B201" s="34"/>
      <c r="C201" s="34"/>
      <c r="D201" s="35"/>
      <c r="E201" s="36"/>
      <c r="F201" s="37"/>
      <c r="G201" s="34"/>
      <c r="H201" s="34"/>
      <c r="I201" s="35"/>
      <c r="J201" s="36"/>
      <c r="K201" s="37"/>
      <c r="L201" s="34"/>
      <c r="M201" s="34"/>
      <c r="N201" s="35"/>
      <c r="O201" s="36"/>
    </row>
    <row r="202" spans="2:15" ht="41.25" customHeight="1" x14ac:dyDescent="0.25">
      <c r="B202" s="34"/>
      <c r="C202" s="34"/>
      <c r="D202" s="35"/>
      <c r="E202" s="36"/>
      <c r="F202" s="37"/>
      <c r="G202" s="34"/>
      <c r="H202" s="34"/>
      <c r="I202" s="35"/>
      <c r="J202" s="36"/>
      <c r="K202" s="37"/>
      <c r="L202" s="34"/>
      <c r="M202" s="34"/>
      <c r="N202" s="35"/>
      <c r="O202" s="36"/>
    </row>
    <row r="203" spans="2:15" ht="41.25" customHeight="1" x14ac:dyDescent="0.25">
      <c r="B203" s="34"/>
      <c r="C203" s="34"/>
      <c r="D203" s="35"/>
      <c r="E203" s="36"/>
      <c r="F203" s="37"/>
      <c r="G203" s="34"/>
      <c r="H203" s="34"/>
      <c r="I203" s="35"/>
      <c r="J203" s="36"/>
      <c r="K203" s="37"/>
      <c r="L203" s="34"/>
      <c r="M203" s="34"/>
      <c r="N203" s="35"/>
      <c r="O203" s="36"/>
    </row>
    <row r="204" spans="2:15" ht="41.25" customHeight="1" x14ac:dyDescent="0.25">
      <c r="B204" s="34"/>
      <c r="C204" s="34"/>
      <c r="D204" s="35"/>
      <c r="E204" s="36"/>
      <c r="F204" s="37"/>
      <c r="G204" s="34"/>
      <c r="H204" s="34"/>
      <c r="I204" s="35"/>
      <c r="J204" s="36"/>
      <c r="K204" s="37"/>
      <c r="L204" s="34"/>
      <c r="M204" s="34"/>
      <c r="N204" s="35"/>
      <c r="O204" s="36"/>
    </row>
    <row r="205" spans="2:15" ht="41.25" customHeight="1" x14ac:dyDescent="0.25">
      <c r="B205" s="34"/>
      <c r="C205" s="34"/>
      <c r="D205" s="35"/>
      <c r="E205" s="36"/>
      <c r="F205" s="37"/>
      <c r="G205" s="34"/>
      <c r="H205" s="34"/>
      <c r="I205" s="35"/>
      <c r="J205" s="36"/>
      <c r="K205" s="37"/>
      <c r="L205" s="34"/>
      <c r="M205" s="34"/>
      <c r="N205" s="35"/>
      <c r="O205" s="36"/>
    </row>
    <row r="206" spans="2:15" ht="41.25" customHeight="1" x14ac:dyDescent="0.25">
      <c r="B206" s="34"/>
      <c r="C206" s="34"/>
      <c r="D206" s="35"/>
      <c r="E206" s="36"/>
      <c r="F206" s="37"/>
      <c r="G206" s="34"/>
      <c r="H206" s="34"/>
      <c r="I206" s="35"/>
      <c r="J206" s="36"/>
      <c r="K206" s="37"/>
      <c r="L206" s="34"/>
      <c r="M206" s="34"/>
      <c r="N206" s="35"/>
      <c r="O206" s="36"/>
    </row>
    <row r="207" spans="2:15" ht="41.25" customHeight="1" x14ac:dyDescent="0.25">
      <c r="B207" s="34"/>
      <c r="C207" s="34"/>
      <c r="D207" s="35"/>
      <c r="E207" s="36"/>
      <c r="F207" s="37"/>
      <c r="G207" s="34"/>
      <c r="H207" s="34"/>
      <c r="I207" s="35"/>
      <c r="J207" s="36"/>
      <c r="K207" s="37"/>
      <c r="L207" s="34"/>
      <c r="M207" s="34"/>
      <c r="N207" s="35"/>
      <c r="O207" s="36"/>
    </row>
    <row r="208" spans="2:15" ht="41.25" customHeight="1" x14ac:dyDescent="0.25">
      <c r="B208" s="34"/>
      <c r="C208" s="34"/>
      <c r="D208" s="35"/>
      <c r="E208" s="36"/>
      <c r="F208" s="37"/>
      <c r="G208" s="34"/>
      <c r="H208" s="34"/>
      <c r="I208" s="35"/>
      <c r="J208" s="36"/>
      <c r="K208" s="37"/>
      <c r="L208" s="34"/>
      <c r="M208" s="34"/>
      <c r="N208" s="35"/>
      <c r="O208" s="36"/>
    </row>
    <row r="209" spans="2:15" ht="41.25" customHeight="1" x14ac:dyDescent="0.25">
      <c r="B209" s="34"/>
      <c r="C209" s="34"/>
      <c r="D209" s="35"/>
      <c r="E209" s="36"/>
      <c r="F209" s="37"/>
      <c r="G209" s="34"/>
      <c r="H209" s="34"/>
      <c r="I209" s="35"/>
      <c r="J209" s="36"/>
      <c r="K209" s="37"/>
      <c r="L209" s="34"/>
      <c r="M209" s="34"/>
      <c r="N209" s="35"/>
      <c r="O209" s="36"/>
    </row>
    <row r="210" spans="2:15" ht="41.25" customHeight="1" x14ac:dyDescent="0.25">
      <c r="B210" s="34"/>
      <c r="C210" s="34"/>
      <c r="D210" s="35"/>
      <c r="E210" s="36"/>
      <c r="F210" s="37"/>
      <c r="G210" s="34"/>
      <c r="H210" s="34"/>
      <c r="I210" s="35"/>
      <c r="J210" s="36"/>
      <c r="K210" s="37"/>
      <c r="L210" s="34"/>
      <c r="M210" s="34"/>
      <c r="N210" s="35"/>
      <c r="O210" s="36"/>
    </row>
    <row r="211" spans="2:15" ht="41.25" customHeight="1" x14ac:dyDescent="0.25">
      <c r="B211" s="34"/>
      <c r="C211" s="34"/>
      <c r="D211" s="35"/>
      <c r="E211" s="36"/>
      <c r="F211" s="37"/>
      <c r="G211" s="34"/>
      <c r="H211" s="34"/>
      <c r="I211" s="35"/>
      <c r="J211" s="36"/>
      <c r="K211" s="37"/>
      <c r="L211" s="34"/>
      <c r="M211" s="34"/>
      <c r="N211" s="35"/>
      <c r="O211" s="36"/>
    </row>
    <row r="212" spans="2:15" ht="41.25" customHeight="1" x14ac:dyDescent="0.25">
      <c r="B212" s="34"/>
      <c r="C212" s="34"/>
      <c r="D212" s="35"/>
      <c r="E212" s="36"/>
      <c r="F212" s="37"/>
      <c r="G212" s="34"/>
      <c r="H212" s="34"/>
      <c r="I212" s="35"/>
      <c r="J212" s="36"/>
      <c r="K212" s="37"/>
      <c r="L212" s="34"/>
      <c r="M212" s="34"/>
      <c r="N212" s="35"/>
      <c r="O212" s="36"/>
    </row>
    <row r="213" spans="2:15" ht="41.25" customHeight="1" x14ac:dyDescent="0.25">
      <c r="B213" s="34"/>
      <c r="C213" s="34"/>
      <c r="D213" s="35"/>
      <c r="E213" s="36"/>
      <c r="F213" s="37"/>
      <c r="G213" s="34"/>
      <c r="H213" s="34"/>
      <c r="I213" s="35"/>
      <c r="J213" s="36"/>
      <c r="K213" s="37"/>
      <c r="L213" s="34"/>
      <c r="M213" s="34"/>
      <c r="N213" s="35"/>
      <c r="O213" s="36"/>
    </row>
    <row r="214" spans="2:15" ht="41.25" customHeight="1" x14ac:dyDescent="0.25">
      <c r="B214" s="34"/>
      <c r="C214" s="34"/>
      <c r="D214" s="35"/>
      <c r="E214" s="36"/>
      <c r="F214" s="37"/>
      <c r="G214" s="34"/>
      <c r="H214" s="34"/>
      <c r="I214" s="35"/>
      <c r="J214" s="36"/>
      <c r="K214" s="37"/>
      <c r="L214" s="34"/>
      <c r="M214" s="34"/>
      <c r="N214" s="35"/>
      <c r="O214" s="36"/>
    </row>
    <row r="215" spans="2:15" ht="41.25" customHeight="1" x14ac:dyDescent="0.25">
      <c r="B215" s="34"/>
      <c r="C215" s="34"/>
      <c r="D215" s="35"/>
      <c r="E215" s="36"/>
      <c r="F215" s="37"/>
      <c r="G215" s="34"/>
      <c r="H215" s="34"/>
      <c r="I215" s="35"/>
      <c r="J215" s="36"/>
      <c r="K215" s="37"/>
      <c r="L215" s="34"/>
      <c r="M215" s="34"/>
      <c r="N215" s="35"/>
      <c r="O215" s="36"/>
    </row>
    <row r="216" spans="2:15" ht="41.25" customHeight="1" x14ac:dyDescent="0.25">
      <c r="B216" s="34"/>
      <c r="C216" s="34"/>
      <c r="D216" s="35"/>
      <c r="E216" s="36"/>
      <c r="F216" s="37"/>
      <c r="G216" s="34"/>
      <c r="H216" s="34"/>
      <c r="I216" s="35"/>
      <c r="J216" s="36"/>
      <c r="K216" s="37"/>
      <c r="L216" s="34"/>
      <c r="M216" s="34"/>
      <c r="N216" s="35"/>
      <c r="O216" s="36"/>
    </row>
    <row r="217" spans="2:15" ht="41.25" customHeight="1" x14ac:dyDescent="0.25">
      <c r="B217" s="34"/>
      <c r="C217" s="34"/>
      <c r="D217" s="35"/>
      <c r="E217" s="36"/>
      <c r="F217" s="37"/>
      <c r="G217" s="34"/>
      <c r="H217" s="34"/>
      <c r="I217" s="35"/>
      <c r="J217" s="36"/>
      <c r="K217" s="37"/>
      <c r="L217" s="34"/>
      <c r="M217" s="34"/>
      <c r="N217" s="35"/>
      <c r="O217" s="36"/>
    </row>
    <row r="218" spans="2:15" ht="41.25" customHeight="1" x14ac:dyDescent="0.25">
      <c r="B218" s="34"/>
      <c r="C218" s="34"/>
      <c r="D218" s="35"/>
      <c r="E218" s="36"/>
      <c r="F218" s="37"/>
      <c r="G218" s="34"/>
      <c r="H218" s="34"/>
      <c r="I218" s="35"/>
      <c r="J218" s="36"/>
      <c r="K218" s="37"/>
      <c r="L218" s="34"/>
      <c r="M218" s="34"/>
      <c r="N218" s="35"/>
      <c r="O218" s="36"/>
    </row>
    <row r="219" spans="2:15" ht="41.25" customHeight="1" x14ac:dyDescent="0.25">
      <c r="B219" s="34"/>
      <c r="C219" s="34"/>
      <c r="D219" s="35"/>
      <c r="E219" s="36"/>
      <c r="F219" s="37"/>
      <c r="G219" s="34"/>
      <c r="H219" s="34"/>
      <c r="I219" s="35"/>
      <c r="J219" s="36"/>
      <c r="K219" s="37"/>
      <c r="L219" s="34"/>
      <c r="M219" s="34"/>
      <c r="N219" s="35"/>
      <c r="O219" s="36"/>
    </row>
    <row r="220" spans="2:15" ht="41.25" customHeight="1" x14ac:dyDescent="0.25">
      <c r="B220" s="34"/>
      <c r="C220" s="34"/>
      <c r="D220" s="35"/>
      <c r="E220" s="36"/>
      <c r="F220" s="37"/>
      <c r="G220" s="34"/>
      <c r="H220" s="34"/>
      <c r="I220" s="35"/>
      <c r="J220" s="36"/>
      <c r="K220" s="37"/>
      <c r="L220" s="34"/>
      <c r="M220" s="34"/>
      <c r="N220" s="35"/>
      <c r="O220" s="36"/>
    </row>
    <row r="221" spans="2:15" ht="41.25" customHeight="1" x14ac:dyDescent="0.25">
      <c r="B221" s="34"/>
      <c r="C221" s="34"/>
      <c r="D221" s="35"/>
      <c r="E221" s="36"/>
      <c r="F221" s="37"/>
      <c r="G221" s="34"/>
      <c r="H221" s="34"/>
      <c r="I221" s="35"/>
      <c r="J221" s="36"/>
      <c r="K221" s="37"/>
      <c r="L221" s="34"/>
      <c r="M221" s="34"/>
      <c r="N221" s="35"/>
      <c r="O221" s="36"/>
    </row>
    <row r="222" spans="2:15" ht="41.25" customHeight="1" x14ac:dyDescent="0.25">
      <c r="B222" s="34"/>
      <c r="C222" s="34"/>
      <c r="D222" s="35"/>
      <c r="E222" s="36"/>
      <c r="F222" s="37"/>
      <c r="G222" s="34"/>
      <c r="H222" s="34"/>
      <c r="I222" s="35"/>
      <c r="J222" s="36"/>
      <c r="K222" s="37"/>
      <c r="L222" s="34"/>
      <c r="M222" s="34"/>
      <c r="N222" s="35"/>
      <c r="O222" s="36"/>
    </row>
    <row r="223" spans="2:15" ht="41.25" customHeight="1" x14ac:dyDescent="0.25">
      <c r="B223" s="34"/>
      <c r="C223" s="34"/>
      <c r="D223" s="35"/>
      <c r="E223" s="36"/>
      <c r="F223" s="37"/>
      <c r="G223" s="34"/>
      <c r="H223" s="34"/>
      <c r="I223" s="35"/>
      <c r="J223" s="36"/>
      <c r="K223" s="37"/>
      <c r="L223" s="34"/>
      <c r="M223" s="34"/>
      <c r="N223" s="35"/>
      <c r="O223" s="36"/>
    </row>
    <row r="224" spans="2:15" ht="41.25" customHeight="1" x14ac:dyDescent="0.25">
      <c r="B224" s="34"/>
      <c r="C224" s="34"/>
      <c r="D224" s="35"/>
      <c r="E224" s="36"/>
      <c r="F224" s="37"/>
      <c r="G224" s="34"/>
      <c r="H224" s="34"/>
      <c r="I224" s="35"/>
      <c r="J224" s="36"/>
      <c r="K224" s="37"/>
      <c r="L224" s="34"/>
      <c r="M224" s="34"/>
      <c r="N224" s="35"/>
      <c r="O224" s="36"/>
    </row>
    <row r="225" spans="2:15" ht="41.25" customHeight="1" x14ac:dyDescent="0.25">
      <c r="B225" s="34"/>
      <c r="C225" s="34"/>
      <c r="D225" s="35"/>
      <c r="E225" s="36"/>
      <c r="F225" s="37"/>
      <c r="G225" s="34"/>
      <c r="H225" s="34"/>
      <c r="I225" s="35"/>
      <c r="J225" s="36"/>
      <c r="K225" s="37"/>
      <c r="L225" s="34"/>
      <c r="M225" s="34"/>
      <c r="N225" s="35"/>
      <c r="O225" s="36"/>
    </row>
    <row r="226" spans="2:15" ht="41.25" customHeight="1" x14ac:dyDescent="0.25">
      <c r="B226" s="34"/>
      <c r="C226" s="34"/>
      <c r="D226" s="35"/>
      <c r="E226" s="36"/>
      <c r="F226" s="37"/>
      <c r="G226" s="34"/>
      <c r="H226" s="34"/>
      <c r="I226" s="35"/>
      <c r="J226" s="36"/>
      <c r="K226" s="37"/>
      <c r="L226" s="34"/>
      <c r="M226" s="34"/>
      <c r="N226" s="35"/>
      <c r="O226" s="36"/>
    </row>
    <row r="227" spans="2:15" ht="41.25" customHeight="1" x14ac:dyDescent="0.25">
      <c r="B227" s="34"/>
      <c r="C227" s="34"/>
      <c r="D227" s="35"/>
      <c r="E227" s="36"/>
      <c r="F227" s="37"/>
      <c r="G227" s="34"/>
      <c r="H227" s="34"/>
      <c r="I227" s="35"/>
      <c r="J227" s="36"/>
      <c r="K227" s="37"/>
      <c r="L227" s="34"/>
      <c r="M227" s="34"/>
      <c r="N227" s="35"/>
      <c r="O227" s="36"/>
    </row>
    <row r="228" spans="2:15" ht="41.25" customHeight="1" x14ac:dyDescent="0.25">
      <c r="B228" s="34"/>
      <c r="C228" s="34"/>
      <c r="D228" s="35"/>
      <c r="E228" s="36"/>
      <c r="F228" s="37"/>
      <c r="G228" s="34"/>
      <c r="H228" s="34"/>
      <c r="I228" s="35"/>
      <c r="J228" s="36"/>
      <c r="K228" s="37"/>
      <c r="L228" s="34"/>
      <c r="M228" s="34"/>
      <c r="N228" s="35"/>
      <c r="O228" s="36"/>
    </row>
    <row r="229" spans="2:15" ht="41.25" customHeight="1" x14ac:dyDescent="0.25">
      <c r="B229" s="34"/>
      <c r="C229" s="34"/>
      <c r="D229" s="35"/>
      <c r="E229" s="36"/>
      <c r="F229" s="37"/>
      <c r="G229" s="34"/>
      <c r="H229" s="34"/>
      <c r="I229" s="35"/>
      <c r="J229" s="36"/>
      <c r="K229" s="37"/>
      <c r="L229" s="34"/>
      <c r="M229" s="34"/>
      <c r="N229" s="35"/>
      <c r="O229" s="36"/>
    </row>
    <row r="230" spans="2:15" ht="41.25" customHeight="1" x14ac:dyDescent="0.25">
      <c r="B230" s="34"/>
      <c r="C230" s="34"/>
      <c r="D230" s="35"/>
      <c r="E230" s="36"/>
      <c r="F230" s="37"/>
      <c r="G230" s="34"/>
      <c r="H230" s="34"/>
      <c r="I230" s="35"/>
      <c r="J230" s="36"/>
      <c r="K230" s="37"/>
      <c r="L230" s="34"/>
      <c r="M230" s="34"/>
      <c r="N230" s="35"/>
      <c r="O230" s="36"/>
    </row>
    <row r="231" spans="2:15" ht="41.25" customHeight="1" x14ac:dyDescent="0.25">
      <c r="B231" s="34"/>
      <c r="C231" s="34"/>
      <c r="D231" s="35"/>
      <c r="E231" s="36"/>
      <c r="F231" s="37"/>
      <c r="G231" s="34"/>
      <c r="H231" s="34"/>
      <c r="I231" s="35"/>
      <c r="J231" s="36"/>
      <c r="K231" s="37"/>
      <c r="L231" s="34"/>
      <c r="M231" s="34"/>
      <c r="N231" s="35"/>
      <c r="O231" s="36"/>
    </row>
    <row r="232" spans="2:15" ht="41.25" customHeight="1" x14ac:dyDescent="0.25">
      <c r="B232" s="34"/>
      <c r="C232" s="34"/>
      <c r="D232" s="35"/>
      <c r="E232" s="36"/>
      <c r="F232" s="37"/>
      <c r="G232" s="34"/>
      <c r="H232" s="34"/>
      <c r="I232" s="35"/>
      <c r="J232" s="36"/>
      <c r="K232" s="37"/>
      <c r="L232" s="34"/>
      <c r="M232" s="34"/>
      <c r="N232" s="35"/>
      <c r="O232" s="36"/>
    </row>
    <row r="233" spans="2:15" ht="41.25" customHeight="1" x14ac:dyDescent="0.25">
      <c r="B233" s="34"/>
      <c r="C233" s="34"/>
      <c r="D233" s="35"/>
      <c r="E233" s="36"/>
      <c r="F233" s="37"/>
      <c r="G233" s="34"/>
      <c r="H233" s="34"/>
      <c r="I233" s="35"/>
      <c r="J233" s="36"/>
      <c r="K233" s="37"/>
      <c r="L233" s="34"/>
      <c r="M233" s="34"/>
      <c r="N233" s="35"/>
      <c r="O233" s="36"/>
    </row>
    <row r="234" spans="2:15" ht="41.25" customHeight="1" x14ac:dyDescent="0.25">
      <c r="B234" s="34"/>
      <c r="C234" s="34"/>
      <c r="D234" s="35"/>
      <c r="E234" s="36"/>
      <c r="F234" s="37"/>
      <c r="G234" s="34"/>
      <c r="H234" s="34"/>
      <c r="I234" s="35"/>
      <c r="J234" s="36"/>
      <c r="K234" s="37"/>
      <c r="L234" s="34"/>
      <c r="M234" s="34"/>
      <c r="N234" s="35"/>
      <c r="O234" s="36"/>
    </row>
    <row r="235" spans="2:15" ht="41.25" customHeight="1" x14ac:dyDescent="0.25">
      <c r="B235" s="34"/>
      <c r="C235" s="34"/>
      <c r="D235" s="35"/>
      <c r="E235" s="36"/>
      <c r="F235" s="37"/>
      <c r="G235" s="34"/>
      <c r="H235" s="34"/>
      <c r="I235" s="35"/>
      <c r="J235" s="36"/>
      <c r="K235" s="37"/>
      <c r="L235" s="34"/>
      <c r="M235" s="34"/>
      <c r="N235" s="35"/>
      <c r="O235" s="36"/>
    </row>
    <row r="236" spans="2:15" ht="41.25" customHeight="1" x14ac:dyDescent="0.25">
      <c r="B236" s="34"/>
      <c r="C236" s="34"/>
      <c r="D236" s="35"/>
      <c r="E236" s="36"/>
      <c r="F236" s="37"/>
      <c r="G236" s="34"/>
      <c r="H236" s="34"/>
      <c r="I236" s="35"/>
      <c r="J236" s="36"/>
      <c r="K236" s="37"/>
      <c r="L236" s="34"/>
      <c r="M236" s="34"/>
      <c r="N236" s="35"/>
      <c r="O236" s="36"/>
    </row>
    <row r="237" spans="2:15" ht="41.25" customHeight="1" x14ac:dyDescent="0.25">
      <c r="B237" s="34"/>
      <c r="C237" s="34"/>
      <c r="D237" s="35"/>
      <c r="E237" s="36"/>
      <c r="F237" s="37"/>
      <c r="G237" s="34"/>
      <c r="H237" s="34"/>
      <c r="I237" s="35"/>
      <c r="J237" s="36"/>
      <c r="K237" s="37"/>
      <c r="L237" s="34"/>
      <c r="M237" s="34"/>
      <c r="N237" s="35"/>
      <c r="O237" s="36"/>
    </row>
    <row r="238" spans="2:15" ht="41.25" customHeight="1" x14ac:dyDescent="0.25">
      <c r="B238" s="34"/>
      <c r="C238" s="34"/>
      <c r="D238" s="35"/>
      <c r="E238" s="36"/>
      <c r="F238" s="37"/>
      <c r="G238" s="34"/>
      <c r="H238" s="34"/>
      <c r="I238" s="35"/>
      <c r="J238" s="36"/>
      <c r="K238" s="37"/>
      <c r="L238" s="34"/>
      <c r="M238" s="34"/>
      <c r="N238" s="35"/>
      <c r="O238" s="36"/>
    </row>
    <row r="239" spans="2:15" ht="41.25" customHeight="1" x14ac:dyDescent="0.25">
      <c r="B239" s="34"/>
      <c r="C239" s="34"/>
      <c r="D239" s="35"/>
      <c r="E239" s="36"/>
      <c r="F239" s="37"/>
      <c r="G239" s="34"/>
      <c r="H239" s="34"/>
      <c r="I239" s="35"/>
      <c r="J239" s="36"/>
      <c r="K239" s="37"/>
      <c r="L239" s="34"/>
      <c r="M239" s="34"/>
      <c r="N239" s="35"/>
      <c r="O239" s="36"/>
    </row>
    <row r="240" spans="2:15" ht="41.25" customHeight="1" x14ac:dyDescent="0.25">
      <c r="B240" s="34"/>
      <c r="C240" s="34"/>
      <c r="D240" s="35"/>
      <c r="E240" s="36"/>
      <c r="F240" s="37"/>
      <c r="G240" s="34"/>
      <c r="H240" s="34"/>
      <c r="I240" s="35"/>
      <c r="J240" s="36"/>
      <c r="K240" s="37"/>
      <c r="L240" s="34"/>
      <c r="M240" s="34"/>
      <c r="N240" s="35"/>
      <c r="O240" s="36"/>
    </row>
    <row r="241" spans="2:15" ht="41.25" customHeight="1" x14ac:dyDescent="0.25">
      <c r="B241" s="34"/>
      <c r="C241" s="34"/>
      <c r="D241" s="35"/>
      <c r="E241" s="36"/>
      <c r="F241" s="37"/>
      <c r="G241" s="34"/>
      <c r="H241" s="34"/>
      <c r="I241" s="35"/>
      <c r="J241" s="36"/>
      <c r="K241" s="37"/>
      <c r="L241" s="34"/>
      <c r="M241" s="34"/>
      <c r="N241" s="35"/>
      <c r="O241" s="36"/>
    </row>
    <row r="242" spans="2:15" ht="41.25" customHeight="1" x14ac:dyDescent="0.25">
      <c r="B242" s="34"/>
      <c r="C242" s="34"/>
      <c r="D242" s="35"/>
      <c r="E242" s="36"/>
      <c r="F242" s="37"/>
      <c r="G242" s="34"/>
      <c r="H242" s="34"/>
      <c r="I242" s="35"/>
      <c r="J242" s="36"/>
      <c r="K242" s="37"/>
      <c r="L242" s="34"/>
      <c r="M242" s="34"/>
      <c r="N242" s="35"/>
      <c r="O242" s="36"/>
    </row>
    <row r="243" spans="2:15" ht="41.25" customHeight="1" x14ac:dyDescent="0.25">
      <c r="B243" s="34"/>
      <c r="C243" s="34"/>
      <c r="D243" s="35"/>
      <c r="E243" s="36"/>
      <c r="F243" s="37"/>
      <c r="G243" s="34"/>
      <c r="H243" s="34"/>
      <c r="I243" s="35"/>
      <c r="J243" s="36"/>
      <c r="K243" s="37"/>
      <c r="L243" s="34"/>
      <c r="M243" s="34"/>
      <c r="N243" s="35"/>
      <c r="O243" s="36"/>
    </row>
    <row r="244" spans="2:15" ht="41.25" customHeight="1" x14ac:dyDescent="0.25">
      <c r="B244" s="34"/>
      <c r="C244" s="34"/>
      <c r="D244" s="35"/>
      <c r="E244" s="36"/>
      <c r="F244" s="37"/>
      <c r="G244" s="34"/>
      <c r="H244" s="34"/>
      <c r="I244" s="35"/>
      <c r="J244" s="36"/>
      <c r="K244" s="37"/>
      <c r="L244" s="34"/>
      <c r="M244" s="34"/>
      <c r="N244" s="35"/>
      <c r="O244" s="36"/>
    </row>
    <row r="245" spans="2:15" ht="41.25" customHeight="1" x14ac:dyDescent="0.25">
      <c r="B245" s="34"/>
      <c r="C245" s="34"/>
      <c r="D245" s="35"/>
      <c r="E245" s="36"/>
      <c r="F245" s="37"/>
      <c r="G245" s="34"/>
      <c r="H245" s="34"/>
      <c r="I245" s="35"/>
      <c r="J245" s="36"/>
      <c r="K245" s="37"/>
      <c r="L245" s="34"/>
      <c r="M245" s="34"/>
      <c r="N245" s="35"/>
      <c r="O245" s="36"/>
    </row>
    <row r="246" spans="2:15" ht="41.25" customHeight="1" x14ac:dyDescent="0.25">
      <c r="B246" s="34"/>
      <c r="C246" s="34"/>
      <c r="D246" s="35"/>
      <c r="E246" s="36"/>
      <c r="F246" s="37"/>
      <c r="G246" s="34"/>
      <c r="H246" s="34"/>
      <c r="I246" s="35"/>
      <c r="J246" s="36"/>
      <c r="K246" s="37"/>
      <c r="L246" s="34"/>
      <c r="M246" s="34"/>
      <c r="N246" s="35"/>
      <c r="O246" s="36"/>
    </row>
    <row r="247" spans="2:15" ht="41.25" customHeight="1" x14ac:dyDescent="0.25">
      <c r="B247" s="34"/>
      <c r="C247" s="34"/>
      <c r="D247" s="35"/>
      <c r="E247" s="36"/>
      <c r="F247" s="37"/>
      <c r="G247" s="34"/>
      <c r="H247" s="34"/>
      <c r="I247" s="35"/>
      <c r="J247" s="36"/>
      <c r="K247" s="37"/>
      <c r="L247" s="34"/>
      <c r="M247" s="34"/>
      <c r="N247" s="35"/>
      <c r="O247" s="36"/>
    </row>
    <row r="248" spans="2:15" ht="41.25" customHeight="1" x14ac:dyDescent="0.25">
      <c r="B248" s="34"/>
      <c r="C248" s="34"/>
      <c r="D248" s="35"/>
      <c r="E248" s="36"/>
      <c r="F248" s="37"/>
      <c r="G248" s="34"/>
      <c r="H248" s="34"/>
      <c r="I248" s="35"/>
      <c r="J248" s="36"/>
      <c r="K248" s="37"/>
      <c r="L248" s="34"/>
      <c r="M248" s="34"/>
      <c r="N248" s="35"/>
      <c r="O248" s="36"/>
    </row>
    <row r="249" spans="2:15" ht="41.25" customHeight="1" x14ac:dyDescent="0.25">
      <c r="B249" s="34"/>
      <c r="C249" s="34"/>
      <c r="D249" s="35"/>
      <c r="E249" s="36"/>
      <c r="F249" s="37"/>
      <c r="G249" s="34"/>
      <c r="H249" s="34"/>
      <c r="I249" s="35"/>
      <c r="J249" s="36"/>
      <c r="K249" s="37"/>
      <c r="L249" s="34"/>
      <c r="M249" s="34"/>
      <c r="N249" s="35"/>
      <c r="O249" s="36"/>
    </row>
    <row r="250" spans="2:15" ht="41.25" customHeight="1" x14ac:dyDescent="0.25">
      <c r="B250" s="34"/>
      <c r="C250" s="34"/>
      <c r="D250" s="35"/>
      <c r="E250" s="36"/>
      <c r="F250" s="37"/>
      <c r="G250" s="34"/>
      <c r="H250" s="34"/>
      <c r="I250" s="35"/>
      <c r="J250" s="36"/>
      <c r="K250" s="37"/>
      <c r="L250" s="34"/>
      <c r="M250" s="34"/>
      <c r="N250" s="35"/>
      <c r="O250" s="36"/>
    </row>
    <row r="251" spans="2:15" ht="41.25" customHeight="1" x14ac:dyDescent="0.25">
      <c r="B251" s="34"/>
      <c r="C251" s="34"/>
      <c r="D251" s="35"/>
      <c r="E251" s="36"/>
      <c r="F251" s="37"/>
      <c r="G251" s="34"/>
      <c r="H251" s="34"/>
      <c r="I251" s="35"/>
      <c r="J251" s="36"/>
      <c r="K251" s="37"/>
      <c r="L251" s="34"/>
      <c r="M251" s="34"/>
      <c r="N251" s="35"/>
      <c r="O251" s="36"/>
    </row>
    <row r="252" spans="2:15" ht="41.25" customHeight="1" x14ac:dyDescent="0.25">
      <c r="B252" s="34"/>
      <c r="C252" s="34"/>
      <c r="D252" s="35"/>
      <c r="E252" s="36"/>
      <c r="F252" s="37"/>
      <c r="G252" s="34"/>
      <c r="H252" s="34"/>
      <c r="I252" s="35"/>
      <c r="J252" s="36"/>
      <c r="K252" s="37"/>
      <c r="L252" s="34"/>
      <c r="M252" s="34"/>
      <c r="N252" s="35"/>
      <c r="O252" s="36"/>
    </row>
    <row r="253" spans="2:15" ht="41.25" customHeight="1" x14ac:dyDescent="0.25">
      <c r="B253" s="34"/>
      <c r="C253" s="34"/>
      <c r="D253" s="35"/>
      <c r="E253" s="36"/>
      <c r="F253" s="37"/>
      <c r="G253" s="34"/>
      <c r="H253" s="34"/>
      <c r="I253" s="35"/>
      <c r="J253" s="36"/>
      <c r="K253" s="37"/>
      <c r="L253" s="34"/>
      <c r="M253" s="34"/>
      <c r="N253" s="35"/>
      <c r="O253" s="36"/>
    </row>
    <row r="254" spans="2:15" ht="41.25" customHeight="1" x14ac:dyDescent="0.25">
      <c r="B254" s="34"/>
      <c r="C254" s="34"/>
      <c r="D254" s="35"/>
      <c r="E254" s="36"/>
      <c r="F254" s="37"/>
      <c r="G254" s="34"/>
      <c r="H254" s="34"/>
      <c r="I254" s="35"/>
      <c r="J254" s="36"/>
      <c r="K254" s="37"/>
      <c r="L254" s="34"/>
      <c r="M254" s="34"/>
      <c r="N254" s="35"/>
      <c r="O254" s="36"/>
    </row>
    <row r="255" spans="2:15" ht="41.25" customHeight="1" x14ac:dyDescent="0.25">
      <c r="B255" s="34"/>
      <c r="C255" s="34"/>
      <c r="D255" s="35"/>
      <c r="E255" s="36"/>
      <c r="F255" s="37"/>
      <c r="G255" s="34"/>
      <c r="H255" s="34"/>
      <c r="I255" s="35"/>
      <c r="J255" s="36"/>
      <c r="K255" s="37"/>
      <c r="L255" s="34"/>
      <c r="M255" s="34"/>
      <c r="N255" s="35"/>
      <c r="O255" s="36"/>
    </row>
    <row r="256" spans="2:15" ht="41.25" customHeight="1" x14ac:dyDescent="0.25">
      <c r="B256" s="34"/>
      <c r="C256" s="34"/>
      <c r="D256" s="35"/>
      <c r="E256" s="36"/>
      <c r="F256" s="37"/>
      <c r="G256" s="34"/>
      <c r="H256" s="34"/>
      <c r="I256" s="35"/>
      <c r="J256" s="36"/>
      <c r="K256" s="37"/>
      <c r="L256" s="34"/>
      <c r="M256" s="34"/>
      <c r="N256" s="35"/>
      <c r="O256" s="36"/>
    </row>
    <row r="257" spans="2:15" ht="41.25" customHeight="1" x14ac:dyDescent="0.25">
      <c r="B257" s="34"/>
      <c r="C257" s="34"/>
      <c r="D257" s="35"/>
      <c r="E257" s="36"/>
      <c r="F257" s="37"/>
      <c r="G257" s="34"/>
      <c r="H257" s="34"/>
      <c r="I257" s="35"/>
      <c r="J257" s="36"/>
      <c r="K257" s="37"/>
      <c r="L257" s="34"/>
      <c r="M257" s="34"/>
      <c r="N257" s="35"/>
      <c r="O257" s="36"/>
    </row>
    <row r="258" spans="2:15" ht="41.25" customHeight="1" x14ac:dyDescent="0.25">
      <c r="B258" s="34"/>
      <c r="C258" s="34"/>
      <c r="D258" s="35"/>
      <c r="E258" s="36"/>
      <c r="F258" s="37"/>
      <c r="G258" s="34"/>
      <c r="H258" s="34"/>
      <c r="I258" s="35"/>
      <c r="J258" s="36"/>
      <c r="K258" s="37"/>
      <c r="L258" s="34"/>
      <c r="M258" s="34"/>
      <c r="N258" s="35"/>
      <c r="O258" s="36"/>
    </row>
    <row r="259" spans="2:15" ht="41.25" customHeight="1" x14ac:dyDescent="0.25">
      <c r="B259" s="34"/>
      <c r="C259" s="34"/>
      <c r="D259" s="35"/>
      <c r="E259" s="36"/>
      <c r="F259" s="37"/>
      <c r="G259" s="34"/>
      <c r="H259" s="34"/>
      <c r="I259" s="35"/>
      <c r="J259" s="36"/>
      <c r="K259" s="37"/>
      <c r="L259" s="34"/>
      <c r="M259" s="34"/>
      <c r="N259" s="35"/>
      <c r="O259" s="36"/>
    </row>
    <row r="260" spans="2:15" ht="41.25" customHeight="1" x14ac:dyDescent="0.25">
      <c r="B260" s="34"/>
      <c r="C260" s="34"/>
      <c r="D260" s="35"/>
      <c r="E260" s="36"/>
      <c r="F260" s="37"/>
      <c r="G260" s="34"/>
      <c r="H260" s="34"/>
      <c r="I260" s="35"/>
      <c r="J260" s="36"/>
      <c r="K260" s="37"/>
      <c r="L260" s="34"/>
      <c r="M260" s="34"/>
      <c r="N260" s="35"/>
      <c r="O260" s="36"/>
    </row>
    <row r="261" spans="2:15" ht="41.25" customHeight="1" x14ac:dyDescent="0.25">
      <c r="B261" s="34"/>
      <c r="C261" s="34"/>
      <c r="D261" s="35"/>
      <c r="E261" s="36"/>
      <c r="F261" s="37"/>
      <c r="G261" s="34"/>
      <c r="H261" s="34"/>
      <c r="I261" s="35"/>
      <c r="J261" s="36"/>
      <c r="K261" s="37"/>
      <c r="L261" s="34"/>
      <c r="M261" s="34"/>
      <c r="N261" s="35"/>
      <c r="O261" s="36"/>
    </row>
  </sheetData>
  <sheetProtection sheet="1" objects="1" scenarios="1"/>
  <mergeCells count="9">
    <mergeCell ref="G13:J13"/>
    <mergeCell ref="G14:J16"/>
    <mergeCell ref="L13:O13"/>
    <mergeCell ref="L14:O16"/>
    <mergeCell ref="C9:E9"/>
    <mergeCell ref="C10:E10"/>
    <mergeCell ref="C11:E11"/>
    <mergeCell ref="B13:E13"/>
    <mergeCell ref="B14:E16"/>
  </mergeCells>
  <dataValidations count="2">
    <dataValidation type="list" allowBlank="1" showInputMessage="1" showErrorMessage="1" sqref="J18:J261 O18:O261 E18:E261">
      <formula1>"Ongoing,Complete"</formula1>
    </dataValidation>
    <dataValidation type="list" allowBlank="1" showInputMessage="1" showErrorMessage="1" sqref="C18:C261 H18:H261 M18:M261">
      <formula1>"OM,Coach,Both"</formula1>
    </dataValidation>
  </dataValidations>
  <pageMargins left="0.7" right="0.7" top="0.75" bottom="0.75" header="0.3" footer="0.3"/>
  <pageSetup paperSize="9" orientation="portrait" horizontalDpi="4294967293" verticalDpi="4294967293"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BT_x0020_Document_x0020_Owner xmlns="e0e35bac-e255-4a69-af54-5f01336af94f">
      <UserInfo>
        <DisplayName/>
        <AccountId xsi:nil="true"/>
        <AccountType/>
      </UserInfo>
    </BT_x0020_Document_x0020_Owner>
    <BT_x0020_Data_x0020_Classification xmlns="e0e35bac-e255-4a69-af54-5f01336af94f">In Confidence</BT_x0020_Data_x0020_Classification>
    <TaxCatchAll xmlns="e0e35bac-e255-4a69-af54-5f01336af94f"/>
    <_dlc_DocId xmlns="e0e35bac-e255-4a69-af54-5f01336af94f">4NVVY5HAWSN2-8-317</_dlc_DocId>
    <_dlc_DocIdUrl xmlns="e0e35bac-e255-4a69-af54-5f01336af94f">
      <Url>https://openreach.office.bt.com/sites/NWNMOEMTEAM/_layouts/15/DocIdRedir.aspx?ID=4NVVY5HAWSN2-8-317</Url>
      <Description>4NVVY5HAWSN2-8-317</Description>
    </_dlc_DocId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customXsn xmlns="http://schemas.microsoft.com/office/2006/metadata/customXsn">
  <xsnLocation/>
  <cached>True</cached>
  <openByDefault>False</openByDefault>
  <xsnScope/>
</customXsn>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BT Default Item" ma:contentTypeID="0x0101005EEE68971716474CABDF87371185FDEC00EC6EA5ED20A94112869E9D0DC08914F400DC320938D52FF94FBB289A02660FEE59" ma:contentTypeVersion="11" ma:contentTypeDescription="Default item with a two year maximum retention period." ma:contentTypeScope="" ma:versionID="2dbb8f4dcde93acf6cf598a1a07f5b51">
  <xsd:schema xmlns:xsd="http://www.w3.org/2001/XMLSchema" xmlns:xs="http://www.w3.org/2001/XMLSchema" xmlns:p="http://schemas.microsoft.com/office/2006/metadata/properties" xmlns:ns2="e0e35bac-e255-4a69-af54-5f01336af94f" targetNamespace="http://schemas.microsoft.com/office/2006/metadata/properties" ma:root="true" ma:fieldsID="1e37a95f19bed2091e20dca9f0c48780" ns2:_="">
    <xsd:import namespace="e0e35bac-e255-4a69-af54-5f01336af94f"/>
    <xsd:element name="properties">
      <xsd:complexType>
        <xsd:sequence>
          <xsd:element name="documentManagement">
            <xsd:complexType>
              <xsd:all>
                <xsd:element ref="ns2:_dlc_DocId" minOccurs="0"/>
                <xsd:element ref="ns2:_dlc_DocIdUrl" minOccurs="0"/>
                <xsd:element ref="ns2:_dlc_DocIdPersistId" minOccurs="0"/>
                <xsd:element ref="ns2:TaxCatchAll" minOccurs="0"/>
                <xsd:element ref="ns2:TaxCatchAllLabel" minOccurs="0"/>
                <xsd:element ref="ns2:BT_x0020_Document_x0020_Owner" minOccurs="0"/>
                <xsd:element ref="ns2:BT_x0020_Data_x0020_Classifi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0e35bac-e255-4a69-af54-5f01336af94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1" nillable="true" ma:displayName="Taxonomy Catch All Column" ma:hidden="true" ma:list="{8b548f90-1d7e-4ddd-abae-b05ac5a0773f}" ma:internalName="TaxCatchAll" ma:showField="CatchAllData" ma:web="1c8f3b11-37ae-470a-b918-cb5b7b8e9259">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8b548f90-1d7e-4ddd-abae-b05ac5a0773f}" ma:internalName="TaxCatchAllLabel" ma:readOnly="true" ma:showField="CatchAllDataLabel" ma:web="1c8f3b11-37ae-470a-b918-cb5b7b8e9259">
      <xsd:complexType>
        <xsd:complexContent>
          <xsd:extension base="dms:MultiChoiceLookup">
            <xsd:sequence>
              <xsd:element name="Value" type="dms:Lookup" maxOccurs="unbounded" minOccurs="0" nillable="true"/>
            </xsd:sequence>
          </xsd:extension>
        </xsd:complexContent>
      </xsd:complexType>
    </xsd:element>
    <xsd:element name="BT_x0020_Document_x0020_Owner" ma:index="13" nillable="true" ma:displayName="BT Content Owner" ma:list="UserInfo" ma:SharePointGroup="0" ma:internalName="BT_x0020_Document_x0020_Owner"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BT_x0020_Data_x0020_Classification" ma:index="14" nillable="true" ma:displayName="BT Data Classification" ma:default="In Confidence" ma:description="TEST - To understand more about BT Data Classifications: https://office.bt.com/sites/BTFixIt/Lists/How%20To%20Articles/DispForm_Cust.aspx?ID=1937&#10;&#10;Please note that data classified as IN STRICTEST CONFIDENCE must be encrypted before it is uploaded to office.bt.com.&#10;&#10;To understand how to easily encrypt IN STRICTEST CONFIDENCE information: https://office.bt.com/sites/BTFixIt/SitePages/view.aspx?article=11561" ma:format="Dropdown" ma:internalName="BT_x0020_Data_x0020_Classification">
      <xsd:simpleType>
        <xsd:restriction base="dms:Choice">
          <xsd:enumeration value="Public"/>
          <xsd:enumeration value="BT Internal"/>
          <xsd:enumeration value="In Confidence"/>
          <xsd:enumeration value="In Strictest Confidenc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SharedContentType xmlns="Microsoft.SharePoint.Taxonomy.ContentTypeSync" SourceId="242584ab-b7b4-45ad-9c64-f936d5cb8ab7" ContentTypeId="0x0101005EEE68971716474CABDF87371185FDEC00EC6EA5ED20A94112869E9D0DC08914F4" PreviousValue="false"/>
</file>

<file path=customXml/itemProps1.xml><?xml version="1.0" encoding="utf-8"?>
<ds:datastoreItem xmlns:ds="http://schemas.openxmlformats.org/officeDocument/2006/customXml" ds:itemID="{A7789760-EF6F-4E04-979C-6FB3C3907E89}">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e0e35bac-e255-4a69-af54-5f01336af94f"/>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6FF50FFF-2553-47C1-B09C-8BFB69F10168}">
  <ds:schemaRefs>
    <ds:schemaRef ds:uri="http://schemas.microsoft.com/sharepoint/events"/>
  </ds:schemaRefs>
</ds:datastoreItem>
</file>

<file path=customXml/itemProps3.xml><?xml version="1.0" encoding="utf-8"?>
<ds:datastoreItem xmlns:ds="http://schemas.openxmlformats.org/officeDocument/2006/customXml" ds:itemID="{375F35F3-E49E-4BD7-9307-8E1797E2D373}">
  <ds:schemaRefs>
    <ds:schemaRef ds:uri="http://schemas.microsoft.com/office/2006/metadata/customXsn"/>
  </ds:schemaRefs>
</ds:datastoreItem>
</file>

<file path=customXml/itemProps4.xml><?xml version="1.0" encoding="utf-8"?>
<ds:datastoreItem xmlns:ds="http://schemas.openxmlformats.org/officeDocument/2006/customXml" ds:itemID="{FE4DFE73-D3F7-4C64-9253-5CBAD5BFA047}">
  <ds:schemaRefs>
    <ds:schemaRef ds:uri="http://schemas.microsoft.com/sharepoint/v3/contenttype/forms"/>
  </ds:schemaRefs>
</ds:datastoreItem>
</file>

<file path=customXml/itemProps5.xml><?xml version="1.0" encoding="utf-8"?>
<ds:datastoreItem xmlns:ds="http://schemas.openxmlformats.org/officeDocument/2006/customXml" ds:itemID="{7B4EE20B-54A9-4F79-B207-23D3E00832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0e35bac-e255-4a69-af54-5f01336af9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16DCFAE2-31FC-4673-A48F-83CD1174D944}">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Title</vt:lpstr>
      <vt:lpstr>About</vt:lpstr>
      <vt:lpstr>Engineer Self Assessment</vt:lpstr>
      <vt:lpstr>HHT</vt:lpstr>
      <vt:lpstr>Broadband</vt:lpstr>
      <vt:lpstr>CAL OMI</vt:lpstr>
      <vt:lpstr>UG</vt:lpstr>
      <vt:lpstr>IPhone</vt:lpstr>
      <vt:lpstr>New</vt:lpstr>
      <vt:lpstr>Frames</vt:lpstr>
      <vt:lpstr>Results</vt:lpstr>
      <vt:lpstr>Master</vt:lpstr>
      <vt:lpstr>Scoresheet</vt:lpstr>
      <vt:lpstr>PDP</vt:lpstr>
      <vt:lpstr>'Engineer Self Assessment'!List</vt:lpstr>
      <vt:lpstr>Scoresheet!List</vt:lpstr>
      <vt:lpstr>List</vt:lpstr>
      <vt:lpstr>'Engineer Self Assessment'!List2</vt:lpstr>
      <vt:lpstr>List2</vt:lpstr>
      <vt:lpstr>List3</vt:lpstr>
    </vt:vector>
  </TitlesOfParts>
  <Company>BT Plc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brian.2.mackie@openreach.co.uk</dc:creator>
  <cp:lastModifiedBy>Gupta,A,Ayush,BVLA C</cp:lastModifiedBy>
  <dcterms:created xsi:type="dcterms:W3CDTF">2015-10-06T13:27:09Z</dcterms:created>
  <dcterms:modified xsi:type="dcterms:W3CDTF">2017-07-28T09:49:26Z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0x0101005EEE68971716474CABDF87371185FDEC00EC6EA5ED20A94112869E9D0DC08914F400DC320938D52FF94FBB289A02660FEE59</vt:lpwstr>
  </property>
  <property fmtid="{D5CDD505-2E9C-101B-9397-08002B2CF9AE}" pid="3" name="_dlc_DocIdItemGuid">
    <vt:lpwstr>36841ab5-afe5-4320-9661-c905b0c236d2</vt:lpwstr>
  </property>
</Properties>
</file>